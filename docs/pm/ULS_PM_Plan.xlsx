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iaDinh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CPM" sheetId="4" state="visible" r:id="rId4"/>
    <sheet xmlns:r="http://schemas.openxmlformats.org/officeDocument/2006/relationships" name="PERT" sheetId="5" state="visible" r:id="rId5"/>
    <sheet xmlns:r="http://schemas.openxmlformats.org/officeDocument/2006/relationships" name="Gantt" sheetId="6" state="visible" r:id="rId6"/>
    <sheet xmlns:r="http://schemas.openxmlformats.org/officeDocument/2006/relationships" name="NguonLuc" sheetId="7" state="visible" r:id="rId7"/>
    <sheet xmlns:r="http://schemas.openxmlformats.org/officeDocument/2006/relationships" name="RuiRo" sheetId="8" state="visible" r:id="rId8"/>
    <sheet xmlns:r="http://schemas.openxmlformats.org/officeDocument/2006/relationships" name="RACI" sheetId="9" state="visible" r:id="rId9"/>
    <sheet xmlns:r="http://schemas.openxmlformats.org/officeDocument/2006/relationships" name="TaiChinh" sheetId="10" state="visible" r:id="rId10"/>
    <sheet xmlns:r="http://schemas.openxmlformats.org/officeDocument/2006/relationships" name="EVA" sheetId="11" state="visible" r:id="rId11"/>
    <sheet xmlns:r="http://schemas.openxmlformats.org/officeDocument/2006/relationships" name="Timelog" sheetId="12" state="visible" r:id="rId12"/>
    <sheet xmlns:r="http://schemas.openxmlformats.org/officeDocument/2006/relationships" name="ChatLuo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;;;"/>
    <numFmt numFmtId="167" formatCode="0.0000"/>
    <numFmt numFmtId="168" formatCode="yyyy-mm-dd"/>
    <numFmt numFmtId="169" formatCode="dd/mm/yyyy"/>
    <numFmt numFmtId="170" formatCode="0.000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>
      <i val="1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06666"/>
      </patternFill>
    </fill>
    <fill>
      <patternFill patternType="solid">
        <fgColor rgb="006FA8DC"/>
      </patternFill>
    </fill>
    <fill>
      <patternFill patternType="solid">
        <fgColor rgb="00D9E2F3"/>
      </patternFill>
    </fill>
    <fill>
      <patternFill patternType="solid">
        <fgColor rgb="00B6D7A8"/>
      </patternFill>
    </fill>
    <fill>
      <patternFill patternType="solid">
        <fgColor rgb="00FFE599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3" fontId="0" fillId="3" borderId="0" pivotButton="0" quotePrefix="0" xfId="0"/>
    <xf numFmtId="9" fontId="0" fillId="3" borderId="0" pivotButton="0" quotePrefix="0" xfId="0"/>
    <xf numFmtId="164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4" fillId="7" borderId="0" pivotButton="0" quotePrefix="0" xfId="0"/>
    <xf numFmtId="164" fontId="4" fillId="7" borderId="0" pivotButton="0" quotePrefix="0" xfId="0"/>
    <xf numFmtId="3" fontId="4" fillId="7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9" fontId="0" fillId="4" borderId="0" pivotButton="0" quotePrefix="0" xfId="0"/>
    <xf numFmtId="166" fontId="0" fillId="0" borderId="1" pivotButton="0" quotePrefix="0" xfId="0"/>
    <xf numFmtId="9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9" fontId="0" fillId="4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0" fillId="7" borderId="0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7" fontId="0" fillId="4" borderId="1" pivotButton="0" quotePrefix="0" xfId="0"/>
    <xf numFmtId="3" fontId="4" fillId="4" borderId="0" pivotButton="0" quotePrefix="0" xfId="0"/>
    <xf numFmtId="165" fontId="4" fillId="4" borderId="0" pivotButton="0" quotePrefix="0" xfId="0"/>
    <xf numFmtId="2" fontId="4" fillId="4" borderId="0" pivotButton="0" quotePrefix="0" xfId="0"/>
    <xf numFmtId="9" fontId="0" fillId="0" borderId="1" pivotButton="0" quotePrefix="0" xfId="0"/>
    <xf numFmtId="165" fontId="0" fillId="4" borderId="0" pivotButton="0" quotePrefix="0" xfId="0"/>
    <xf numFmtId="169" fontId="0" fillId="0" borderId="1" pivotButton="0" quotePrefix="0" xfId="0"/>
    <xf numFmtId="2" fontId="0" fillId="4" borderId="1" pivotButton="0" quotePrefix="0" xfId="0"/>
    <xf numFmtId="170" fontId="0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bgColor rgb="00F4CCCC"/>
        </patternFill>
      </fill>
    </dxf>
    <dxf>
      <fill>
        <patternFill patternType="solid">
          <bgColor rgb="00E06666"/>
        </patternFill>
      </fill>
    </dxf>
    <dxf>
      <fill>
        <patternFill patternType="solid">
          <bgColor rgb="006FA8DC"/>
        </patternFill>
      </fill>
    </dxf>
    <dxf>
      <fill>
        <patternFill patternType="solid">
          <bgColor rgb="00EA9999"/>
        </patternFill>
      </fill>
    </dxf>
    <dxf>
      <fill>
        <patternFill patternType="solid">
          <bgColor rgb="00FFE599"/>
        </patternFill>
      </fill>
    </dxf>
    <dxf>
      <fill>
        <patternFill patternType="solid">
          <bgColor rgb="00B6D7A8"/>
        </patternFill>
      </fill>
    </dxf>
    <dxf>
      <fill>
        <patternFill patternType="solid">
          <bgColor rgb="009FC5E8"/>
        </patternFill>
      </fill>
    </dxf>
    <dxf>
      <font>
        <b val="1"/>
      </font>
      <fill>
        <patternFill patternType="solid"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PV, EV, AC tích luỹ (đ)</a:t>
            </a:r>
          </a:p>
        </rich>
      </tx>
    </title>
    <plotArea>
      <lineChart>
        <grouping val="standard"/>
        <ser>
          <idx val="0"/>
          <order val="0"/>
          <tx>
            <strRef>
              <f>'EVA'!H4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'EVA'!$A$5:$A$20</f>
            </numRef>
          </cat>
          <val>
            <numRef>
              <f>'EVA'!$H$5:$H$20</f>
            </numRef>
          </val>
        </ser>
        <ser>
          <idx val="1"/>
          <order val="1"/>
          <tx>
            <strRef>
              <f>'EVA'!I4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'EVA'!$A$5:$A$20</f>
            </numRef>
          </cat>
          <val>
            <numRef>
              <f>'EVA'!$I$5:$I$20</f>
            </numRef>
          </val>
        </ser>
        <ser>
          <idx val="2"/>
          <order val="2"/>
          <tx>
            <strRef>
              <f>'EVA'!J4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'EVA'!$A$5:$A$20</f>
            </numRef>
          </cat>
          <val>
            <numRef>
              <f>'EVA'!$J$5:$J$20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tuần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đồng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zoomScale="9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Kế hoạch quản lý dự án: Phần mềm Quản lý Thư viện Trường Đại học (Đề tài 8)</t>
        </is>
      </c>
    </row>
    <row r="2">
      <c r="A2" s="2" t="inlineStr">
        <is>
          <t>Dự án mô phỏng 16 tuần, 4 người. Mọi bảng tính đều dùng công thức; ô vàng là dữ liệu nhập, ô xám là kết quả tính.</t>
        </is>
      </c>
    </row>
    <row r="4" ht="32" customHeight="1">
      <c r="A4" s="3" t="inlineStr">
        <is>
          <t>Sheet</t>
        </is>
      </c>
      <c r="B4" s="3" t="inlineStr">
        <is>
          <t>Nội dung</t>
        </is>
      </c>
    </row>
    <row r="5">
      <c r="A5" s="4" t="inlineStr">
        <is>
          <t>GiaDinh</t>
        </is>
      </c>
      <c r="B5" t="inlineStr">
        <is>
          <t>Tham số dùng chung: đơn giá, năng lực, dự phòng, hệ số 3 điểm, giả định tài chính và EVA.</t>
        </is>
      </c>
    </row>
    <row r="6">
      <c r="A6" s="4" t="inlineStr">
        <is>
          <t>WBS</t>
        </is>
      </c>
      <c r="B6" t="inlineStr">
        <is>
          <t>WBS 3 cấp, ước lượng giờ công 3 điểm (PERT), chi phí kế hoạch (BAC).</t>
        </is>
      </c>
    </row>
    <row r="7">
      <c r="A7" s="4" t="inlineStr">
        <is>
          <t>CPM</t>
        </is>
      </c>
      <c r="B7" t="inlineStr">
        <is>
          <t>Bảng hoạt động, phụ thuộc FS/SS, ES/EF/LS/LF, độ dự trữ, đường găng.</t>
        </is>
      </c>
    </row>
    <row r="8">
      <c r="A8" s="4" t="inlineStr">
        <is>
          <t>PERT</t>
        </is>
      </c>
      <c r="B8" t="inlineStr">
        <is>
          <t>Ước lượng 3 điểm cho hoạt động và xác suất hoàn thành đúng hạn.</t>
        </is>
      </c>
    </row>
    <row r="9">
      <c r="A9" s="4" t="inlineStr">
        <is>
          <t>Gantt</t>
        </is>
      </c>
      <c r="B9" t="inlineStr">
        <is>
          <t>Biểu đồ Gantt theo tuần; đỏ là hoạt động găng, xanh là hoạt động có độ dự trữ.</t>
        </is>
      </c>
    </row>
    <row r="10">
      <c r="A10" s="4" t="inlineStr">
        <is>
          <t>NguonLuc</t>
        </is>
      </c>
      <c r="B10" t="inlineStr">
        <is>
          <t>Giờ kế hoạch theo tuần và theo vai trò (nền của PV), so với năng lực.</t>
        </is>
      </c>
    </row>
    <row r="11">
      <c r="A11" s="4" t="inlineStr">
        <is>
          <t>RuiRo</t>
        </is>
      </c>
      <c r="B11" t="inlineStr">
        <is>
          <t>Sổ rủi ro: xác suất, tác động, điểm, EMV, ứng phó; ma trận 5x5.</t>
        </is>
      </c>
    </row>
    <row r="12">
      <c r="A12" s="4" t="inlineStr">
        <is>
          <t>RACI</t>
        </is>
      </c>
      <c r="B12" t="inlineStr">
        <is>
          <t>Ma trận trách nhiệm RACI, kiểm tra mỗi gói có đúng một người chịu trách nhiệm cuối (A).</t>
        </is>
      </c>
    </row>
    <row r="13">
      <c r="A13" s="4" t="inlineStr">
        <is>
          <t>TaiChinh</t>
        </is>
      </c>
      <c r="B13" t="inlineStr">
        <is>
          <t>Chi phí, lợi ích 3 năm, NPV, ROI, thời gian hoàn vốn, độ nhạy.</t>
        </is>
      </c>
    </row>
    <row r="14">
      <c r="A14" s="4" t="inlineStr">
        <is>
          <t>EVA</t>
        </is>
      </c>
      <c r="B14" t="inlineStr">
        <is>
          <t>Phân tích giá trị thu được theo tuần: PV, EV, AC, SV, CV, SPI, CPI, EAC, ETC, VAC, TCPI.</t>
        </is>
      </c>
    </row>
    <row r="15">
      <c r="A15" s="4" t="inlineStr">
        <is>
          <t>Timelog</t>
        </is>
      </c>
      <c r="B15" t="inlineStr">
        <is>
          <t>Giờ công thật ghi nhận của nhóm (từ docs/pm/timelog.csv).</t>
        </is>
      </c>
    </row>
    <row r="16">
      <c r="A16" s="4" t="inlineStr">
        <is>
          <t>ChatLuong</t>
        </is>
      </c>
      <c r="B16" t="inlineStr">
        <is>
          <t>Mốc chất lượng và tiêu chí chấp nhận, kết quả kiểm thử thật.</t>
        </is>
      </c>
    </row>
    <row r="19">
      <c r="A19" s="4" t="inlineStr">
        <is>
          <t>Quy ước màu</t>
        </is>
      </c>
    </row>
    <row r="20">
      <c r="A20" s="5" t="inlineStr">
        <is>
          <t>Ô nhập (đổi được)</t>
        </is>
      </c>
    </row>
    <row r="21">
      <c r="A21" s="6" t="inlineStr">
        <is>
          <t>Ô tính (không sửa tay)</t>
        </is>
      </c>
    </row>
    <row r="22">
      <c r="A22" s="7" t="inlineStr">
        <is>
          <t>Hoạt động găng</t>
        </is>
      </c>
    </row>
    <row r="23">
      <c r="A23" s="8" t="inlineStr">
        <is>
          <t>Hoạt động có dự trữ</t>
        </is>
      </c>
    </row>
    <row r="25">
      <c r="A25" s="9" t="inlineStr">
        <is>
          <t>Lưu ý: EV và AC trong sheet EVA là số mô phỏng có kiểm soát (xem giả định ở sheet GiaDinh), không phải số đo của dự án thật.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zoomScale="9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6" customWidth="1" min="3" max="3"/>
    <col width="90" customWidth="1" min="4" max="4"/>
    <col width="8" customWidth="1" min="5" max="5"/>
    <col width="18" customWidth="1" min="6" max="6"/>
    <col width="18" customWidth="1" min="7" max="7"/>
  </cols>
  <sheetData>
    <row r="1">
      <c r="A1" s="1" t="inlineStr">
        <is>
          <t>Giả định và tham số dùng chung</t>
        </is>
      </c>
    </row>
    <row r="2">
      <c r="A2" s="2" t="inlineStr">
        <is>
          <t>Đổi ô vàng thì toàn bộ WBS, PV, EVA và tài chính tự cập nhật.</t>
        </is>
      </c>
    </row>
    <row r="4" ht="32" customHeight="1">
      <c r="A4" s="3" t="inlineStr">
        <is>
          <t>Tham số</t>
        </is>
      </c>
      <c r="B4" s="3" t="inlineStr">
        <is>
          <t>Giá trị</t>
        </is>
      </c>
      <c r="C4" s="3" t="inlineStr">
        <is>
          <t>Ghi chú</t>
        </is>
      </c>
    </row>
    <row r="5">
      <c r="A5" t="inlineStr">
        <is>
          <t>Đơn giá giờ công (đ/giờ)</t>
        </is>
      </c>
      <c r="B5" s="10" t="n">
        <v>50000</v>
      </c>
      <c r="C5" t="inlineStr">
        <is>
          <t>Giả định sinh viên thực tập</t>
        </is>
      </c>
    </row>
    <row r="6">
      <c r="A6" t="inlineStr">
        <is>
          <t>Số tuần dự án</t>
        </is>
      </c>
      <c r="B6" s="5" t="n">
        <v>16</v>
      </c>
      <c r="C6" t="inlineStr">
        <is>
          <t>1 tuần thật = 2 tuần mô phỏng</t>
        </is>
      </c>
    </row>
    <row r="7">
      <c r="A7" t="inlineStr">
        <is>
          <t>Năng lực mỗi người (giờ/tuần)</t>
        </is>
      </c>
      <c r="B7" s="5" t="n">
        <v>16</v>
      </c>
      <c r="C7" t="inlineStr">
        <is>
          <t>Bán thời gian, khoảng 2 ngày/tuần</t>
        </is>
      </c>
    </row>
    <row r="8">
      <c r="A8" t="inlineStr">
        <is>
          <t>Số người</t>
        </is>
      </c>
      <c r="B8" s="5" t="n">
        <v>4</v>
      </c>
      <c r="C8" t="inlineStr">
        <is>
          <t>PM, Frontend và AI, Backend và DevOps, BA và QA</t>
        </is>
      </c>
    </row>
    <row r="9">
      <c r="A9" t="inlineStr">
        <is>
          <t>Dự phòng quản lý (% BAC)</t>
        </is>
      </c>
      <c r="B9" s="11" t="n">
        <v>0.1</v>
      </c>
      <c r="C9" t="inlineStr">
        <is>
          <t>Dùng cho thay đổi được duyệt và rủi ro</t>
        </is>
      </c>
    </row>
    <row r="10">
      <c r="A10" t="inlineStr">
        <is>
          <t>Tỉ lệ chiết khấu</t>
        </is>
      </c>
      <c r="B10" s="11" t="n">
        <v>0.1</v>
      </c>
      <c r="C10" t="inlineStr">
        <is>
          <t>Chi phí vốn giả định</t>
        </is>
      </c>
    </row>
    <row r="12">
      <c r="A12" s="4" t="inlineStr">
        <is>
          <t>Hệ số ước lượng 3 điểm theo mức bất định</t>
        </is>
      </c>
      <c r="E12" s="4" t="inlineStr">
        <is>
          <t>Hệ số 3 điểm cho hoạt động (sheet PERT)</t>
        </is>
      </c>
    </row>
    <row r="13" ht="32" customHeight="1">
      <c r="A13" s="3" t="inlineStr">
        <is>
          <t>Mức</t>
        </is>
      </c>
      <c r="B13" s="3" t="inlineStr">
        <is>
          <t>Lạc quan (O = M x)</t>
        </is>
      </c>
      <c r="C13" s="3" t="inlineStr">
        <is>
          <t>Bi quan (P = M x)</t>
        </is>
      </c>
      <c r="E13" s="3" t="inlineStr">
        <is>
          <t>Mức</t>
        </is>
      </c>
      <c r="F13" s="3" t="inlineStr">
        <is>
          <t>Lạc quan (a = m x)</t>
        </is>
      </c>
      <c r="G13" s="3" t="inlineStr">
        <is>
          <t>Bi quan (b = m x)</t>
        </is>
      </c>
    </row>
    <row r="14">
      <c r="A14" t="inlineStr">
        <is>
          <t>L</t>
        </is>
      </c>
      <c r="B14" s="5" t="n">
        <v>0.85</v>
      </c>
      <c r="C14" s="5" t="n">
        <v>1.25</v>
      </c>
      <c r="E14" t="inlineStr">
        <is>
          <t>L</t>
        </is>
      </c>
      <c r="F14" s="5" t="n">
        <v>0.8</v>
      </c>
      <c r="G14" s="5" t="n">
        <v>1.3</v>
      </c>
    </row>
    <row r="15">
      <c r="A15" t="inlineStr">
        <is>
          <t>M</t>
        </is>
      </c>
      <c r="B15" s="5" t="n">
        <v>0.8</v>
      </c>
      <c r="C15" s="5" t="n">
        <v>1.4</v>
      </c>
      <c r="E15" t="inlineStr">
        <is>
          <t>M</t>
        </is>
      </c>
      <c r="F15" s="5" t="n">
        <v>0.75</v>
      </c>
      <c r="G15" s="5" t="n">
        <v>1.4</v>
      </c>
    </row>
    <row r="16">
      <c r="A16" t="inlineStr">
        <is>
          <t>H</t>
        </is>
      </c>
      <c r="B16" s="5" t="n">
        <v>0.7</v>
      </c>
      <c r="C16" s="5" t="n">
        <v>1.8</v>
      </c>
      <c r="E16" t="inlineStr">
        <is>
          <t>H</t>
        </is>
      </c>
      <c r="F16" s="5" t="n">
        <v>0.7</v>
      </c>
      <c r="G16" s="5" t="n">
        <v>1.6</v>
      </c>
    </row>
    <row r="18">
      <c r="A18" s="4" t="inlineStr">
        <is>
          <t>Giả định tài chính</t>
        </is>
      </c>
    </row>
    <row r="19" ht="32" customHeight="1">
      <c r="A19" s="3" t="inlineStr">
        <is>
          <t>Tham số</t>
        </is>
      </c>
      <c r="B19" s="3" t="inlineStr">
        <is>
          <t>Giá trị</t>
        </is>
      </c>
      <c r="C19" s="3" t="inlineStr">
        <is>
          <t>Ghi chú</t>
        </is>
      </c>
    </row>
    <row r="20">
      <c r="A20" t="inlineStr">
        <is>
          <t>Số bạn đọc (sinh viên, giảng viên)</t>
        </is>
      </c>
      <c r="B20" s="10" t="n">
        <v>5000</v>
      </c>
      <c r="C20" t="inlineStr">
        <is>
          <t>Giả định quy mô trường</t>
        </is>
      </c>
    </row>
    <row r="21">
      <c r="A21" t="inlineStr">
        <is>
          <t>Lượt mượn mỗi bạn đọc mỗi năm</t>
        </is>
      </c>
      <c r="B21" s="5" t="n">
        <v>8</v>
      </c>
      <c r="C21" t="inlineStr"/>
    </row>
    <row r="22">
      <c r="A22" t="inlineStr">
        <is>
          <t>Phút thủ thư tiết kiệm mỗi lượt mượn trả</t>
        </is>
      </c>
      <c r="B22" s="5" t="n">
        <v>2</v>
      </c>
      <c r="C22" t="inlineStr">
        <is>
          <t>Ghi sổ tay 3 phút, quét mã 1 phút</t>
        </is>
      </c>
    </row>
    <row r="23">
      <c r="A23" t="inlineStr">
        <is>
          <t>Lượt tra cứu hộ mỗi năm</t>
        </is>
      </c>
      <c r="B23" s="10" t="n">
        <v>20000</v>
      </c>
      <c r="C23" t="inlineStr"/>
    </row>
    <row r="24">
      <c r="A24" t="inlineStr">
        <is>
          <t>Phút tiết kiệm mỗi lượt tra cứu</t>
        </is>
      </c>
      <c r="B24" s="5" t="n">
        <v>2</v>
      </c>
      <c r="C24" t="inlineStr"/>
    </row>
    <row r="25">
      <c r="A25" t="inlineStr">
        <is>
          <t>Đơn giá giờ thủ thư (đ/giờ)</t>
        </is>
      </c>
      <c r="B25" s="10" t="n">
        <v>35000</v>
      </c>
      <c r="C25" t="inlineStr"/>
    </row>
    <row r="26">
      <c r="A26" t="inlineStr">
        <is>
          <t>Giờ làm báo cáo thống kê tiết kiệm mỗi năm</t>
        </is>
      </c>
      <c r="B26" s="5" t="n">
        <v>96</v>
      </c>
      <c r="C26" t="inlineStr">
        <is>
          <t>12 báo cáo x 8 giờ</t>
        </is>
      </c>
    </row>
    <row r="27">
      <c r="A27" t="inlineStr">
        <is>
          <t>Giá trị sách mất mỗi năm hiện nay (đ)</t>
        </is>
      </c>
      <c r="B27" s="10" t="n">
        <v>20000000</v>
      </c>
      <c r="C27" t="inlineStr"/>
    </row>
    <row r="28">
      <c r="A28" t="inlineStr">
        <is>
          <t>Tỉ lệ giảm thất thoát nhờ theo dõi quá hạn</t>
        </is>
      </c>
      <c r="B28" s="11" t="n">
        <v>0.25</v>
      </c>
      <c r="C28" t="inlineStr"/>
    </row>
    <row r="29">
      <c r="A29" t="inlineStr">
        <is>
          <t>Mức áp dụng năm 1</t>
        </is>
      </c>
      <c r="B29" s="11" t="n">
        <v>0.7</v>
      </c>
      <c r="C29" t="inlineStr">
        <is>
          <t>70% do làm quen</t>
        </is>
      </c>
    </row>
    <row r="30">
      <c r="A30" t="inlineStr">
        <is>
          <t>Mức áp dụng năm 2</t>
        </is>
      </c>
      <c r="B30" s="11" t="n">
        <v>1</v>
      </c>
      <c r="C30" t="inlineStr"/>
    </row>
    <row r="31">
      <c r="A31" t="inlineStr">
        <is>
          <t>Mức áp dụng năm 3</t>
        </is>
      </c>
      <c r="B31" s="11" t="n">
        <v>1</v>
      </c>
      <c r="C31" t="inlineStr"/>
    </row>
    <row r="32">
      <c r="A32" t="inlineStr">
        <is>
          <t>Hạ tầng trả phí tối thiểu (đ/năm)</t>
        </is>
      </c>
      <c r="B32" s="10" t="n">
        <v>6000000</v>
      </c>
      <c r="C32" t="inlineStr">
        <is>
          <t>Phương án thay free-tier khi vận hành thật</t>
        </is>
      </c>
    </row>
    <row r="33">
      <c r="A33" t="inlineStr">
        <is>
          <t>Giờ bảo trì mỗi năm</t>
        </is>
      </c>
      <c r="B33" s="5" t="n">
        <v>60</v>
      </c>
      <c r="C33" t="inlineStr"/>
    </row>
    <row r="34">
      <c r="A34" t="inlineStr">
        <is>
          <t>Đào tạo, hỗ trợ mỗi năm (đ)</t>
        </is>
      </c>
      <c r="B34" s="10" t="n">
        <v>3000000</v>
      </c>
      <c r="C34" t="inlineStr"/>
    </row>
    <row r="37">
      <c r="A37" s="4" t="inlineStr">
        <is>
          <t>Giả định EVA (số mô phỏng có kiểm soát)</t>
        </is>
      </c>
    </row>
    <row r="38" ht="32" customHeight="1">
      <c r="A38" s="3" t="inlineStr">
        <is>
          <t>Giai đoạn</t>
        </is>
      </c>
      <c r="B38" s="3" t="inlineStr">
        <is>
          <t>Hiệu suất tiến độ (EV/PV trong tuần)</t>
        </is>
      </c>
      <c r="C38" s="3" t="inlineStr">
        <is>
          <t>Hệ số chi phí (giờ thực/giờ thu được)</t>
        </is>
      </c>
      <c r="D38" s="3" t="inlineStr">
        <is>
          <t>Lý do</t>
        </is>
      </c>
    </row>
    <row r="39">
      <c r="A39" t="inlineStr">
        <is>
          <t>Tuần 1-4</t>
        </is>
      </c>
      <c r="B39" s="5" t="n">
        <v>0.96</v>
      </c>
      <c r="C39" s="5" t="n">
        <v>1.04</v>
      </c>
      <c r="D39" t="inlineStr">
        <is>
          <t>Khảo sát và SRS cần làm rõ thêm nghiệp vụ gia hạn, phạt trả trễ, nên tiến độ chậm nhẹ.</t>
        </is>
      </c>
    </row>
    <row r="40">
      <c r="A40" t="inlineStr">
        <is>
          <t>Tuần 5-8</t>
        </is>
      </c>
      <c r="B40" s="5" t="n">
        <v>0.8</v>
      </c>
      <c r="C40" s="5" t="n">
        <v>1.12</v>
      </c>
      <c r="D40" t="inlineStr">
        <is>
          <t>Nhập dữ liệu Google Books bị giới hạn tần suất, phải chuyển sang bộ goodbooks-10k và dựng lại seed; chi phí sửa lỗi cao.</t>
        </is>
      </c>
    </row>
    <row r="41">
      <c r="A41" t="inlineStr">
        <is>
          <t>Tuần 9-12</t>
        </is>
      </c>
      <c r="B41" s="5" t="n">
        <v>1.1</v>
      </c>
      <c r="C41" s="5" t="n">
        <v>1.1</v>
      </c>
      <c r="D41" t="inlineStr">
        <is>
          <t>Làm thêm giờ và chạy song song Frontend với Backend để bù trễ; phát sinh sửa lỗi tính phạt theo ngày lịch.</t>
        </is>
      </c>
    </row>
    <row r="42">
      <c r="A42" t="inlineStr">
        <is>
          <t>Tuần 13-16</t>
        </is>
      </c>
      <c r="B42" s="5" t="n">
        <v>1.12</v>
      </c>
      <c r="C42" s="5" t="n">
        <v>1.05</v>
      </c>
      <c r="D42" t="inlineStr">
        <is>
          <t>Tích hợp, kiểm thử hệ thống và triển khai chạy nhanh nhờ khung CI/CD dựng sẵn; hoàn thành đúng hạn.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14" customWidth="1" min="3" max="3"/>
    <col width="8" customWidth="1" min="4" max="4"/>
    <col width="10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4" customWidth="1" min="12" max="12"/>
    <col width="28" customWidth="1" min="13" max="13"/>
  </cols>
  <sheetData>
    <row r="1">
      <c r="A1" s="1" t="inlineStr">
        <is>
          <t>WBS và ước lượng giờ công (PERT 3 điểm)</t>
        </is>
      </c>
    </row>
    <row r="2">
      <c r="A2" s="2" t="inlineStr">
        <is>
          <t>E = (O + 4M + P) / 6; sigma = (P - O) / 6. O và P tính từ M theo mức bất định ở sheet GiaDinh.</t>
        </is>
      </c>
    </row>
    <row r="4" ht="32" customHeight="1">
      <c r="A4" s="3" t="inlineStr">
        <is>
          <t>Mã WBS</t>
        </is>
      </c>
      <c r="B4" s="3" t="inlineStr">
        <is>
          <t>Gói công việc (Work Package)</t>
        </is>
      </c>
      <c r="C4" s="3" t="inlineStr">
        <is>
          <t>Pha</t>
        </is>
      </c>
      <c r="D4" s="3" t="inlineStr">
        <is>
          <t>Vai trò</t>
        </is>
      </c>
      <c r="E4" s="3" t="inlineStr">
        <is>
          <t>Hoạt động</t>
        </is>
      </c>
      <c r="F4" s="3" t="inlineStr">
        <is>
          <t>Mức</t>
        </is>
      </c>
      <c r="G4" s="3" t="inlineStr">
        <is>
          <t>M (giờ)</t>
        </is>
      </c>
      <c r="H4" s="3" t="inlineStr">
        <is>
          <t>O (giờ)</t>
        </is>
      </c>
      <c r="I4" s="3" t="inlineStr">
        <is>
          <t>P (giờ)</t>
        </is>
      </c>
      <c r="J4" s="3" t="inlineStr">
        <is>
          <t>E (giờ)</t>
        </is>
      </c>
      <c r="K4" s="3" t="inlineStr">
        <is>
          <t>Sigma</t>
        </is>
      </c>
      <c r="L4" s="3" t="inlineStr">
        <is>
          <t>Chi phí (đ)</t>
        </is>
      </c>
      <c r="M4" s="3" t="inlineStr">
        <is>
          <t>Sản phẩm bàn giao</t>
        </is>
      </c>
    </row>
    <row r="5">
      <c r="A5" t="inlineStr">
        <is>
          <t>1.1</t>
        </is>
      </c>
      <c r="B5" t="inlineStr">
        <is>
          <t>Lập hiến chương dự án và SOW</t>
        </is>
      </c>
      <c r="C5" t="inlineStr">
        <is>
          <t>Khởi tạo</t>
        </is>
      </c>
      <c r="D5" t="inlineStr">
        <is>
          <t>PM</t>
        </is>
      </c>
      <c r="E5" t="inlineStr">
        <is>
          <t>A</t>
        </is>
      </c>
      <c r="F5" s="5" t="inlineStr">
        <is>
          <t>L</t>
        </is>
      </c>
      <c r="G5" s="5" t="n">
        <v>8</v>
      </c>
      <c r="H5" s="6">
        <f>ROUND(G5*VLOOKUP(F5,GiaDinh!$A$14:$C$16,2,FALSE),1)</f>
        <v/>
      </c>
      <c r="I5" s="6">
        <f>ROUND(G5*VLOOKUP(F5,GiaDinh!$A$14:$C$16,3,FALSE),1)</f>
        <v/>
      </c>
      <c r="J5" s="12">
        <f>(H5+4*G5+I5)/6</f>
        <v/>
      </c>
      <c r="K5" s="13">
        <f>(I5-H5)/6</f>
        <v/>
      </c>
      <c r="L5" s="14">
        <f>J5*GiaDinh!$B$5</f>
        <v/>
      </c>
      <c r="M5" t="inlineStr">
        <is>
          <t>Project Charter, SOW</t>
        </is>
      </c>
    </row>
    <row r="6">
      <c r="A6" t="inlineStr">
        <is>
          <t>1.2</t>
        </is>
      </c>
      <c r="B6" t="inlineStr">
        <is>
          <t>Phân tích bên liên quan, kế hoạch truyền thông</t>
        </is>
      </c>
      <c r="C6" t="inlineStr">
        <is>
          <t>Khởi tạo</t>
        </is>
      </c>
      <c r="D6" t="inlineStr">
        <is>
          <t>PM</t>
        </is>
      </c>
      <c r="E6" t="inlineStr">
        <is>
          <t>A</t>
        </is>
      </c>
      <c r="F6" s="5" t="inlineStr">
        <is>
          <t>L</t>
        </is>
      </c>
      <c r="G6" s="5" t="n">
        <v>6</v>
      </c>
      <c r="H6" s="6">
        <f>ROUND(G6*VLOOKUP(F6,GiaDinh!$A$14:$C$16,2,FALSE),1)</f>
        <v/>
      </c>
      <c r="I6" s="6">
        <f>ROUND(G6*VLOOKUP(F6,GiaDinh!$A$14:$C$16,3,FALSE),1)</f>
        <v/>
      </c>
      <c r="J6" s="12">
        <f>(H6+4*G6+I6)/6</f>
        <v/>
      </c>
      <c r="K6" s="13">
        <f>(I6-H6)/6</f>
        <v/>
      </c>
      <c r="L6" s="14">
        <f>J6*GiaDinh!$B$5</f>
        <v/>
      </c>
      <c r="M6" t="inlineStr">
        <is>
          <t>Sổ bên liên quan</t>
        </is>
      </c>
    </row>
    <row r="7">
      <c r="A7" t="inlineStr">
        <is>
          <t>1.3</t>
        </is>
      </c>
      <c r="B7" t="inlineStr">
        <is>
          <t>Dựng môi trường: repo, nhánh bảo vệ, Neon, khung 3 dịch vụ</t>
        </is>
      </c>
      <c r="C7" t="inlineStr">
        <is>
          <t>Khởi tạo</t>
        </is>
      </c>
      <c r="D7" t="inlineStr">
        <is>
          <t>BE</t>
        </is>
      </c>
      <c r="E7" t="inlineStr">
        <is>
          <t>B</t>
        </is>
      </c>
      <c r="F7" s="5" t="inlineStr">
        <is>
          <t>M</t>
        </is>
      </c>
      <c r="G7" s="5" t="n">
        <v>14</v>
      </c>
      <c r="H7" s="6">
        <f>ROUND(G7*VLOOKUP(F7,GiaDinh!$A$14:$C$16,2,FALSE),1)</f>
        <v/>
      </c>
      <c r="I7" s="6">
        <f>ROUND(G7*VLOOKUP(F7,GiaDinh!$A$14:$C$16,3,FALSE),1)</f>
        <v/>
      </c>
      <c r="J7" s="12">
        <f>(H7+4*G7+I7)/6</f>
        <v/>
      </c>
      <c r="K7" s="13">
        <f>(I7-H7)/6</f>
        <v/>
      </c>
      <c r="L7" s="14">
        <f>J7*GiaDinh!$B$5</f>
        <v/>
      </c>
      <c r="M7" t="inlineStr">
        <is>
          <t>Repo, CI khung, /health</t>
        </is>
      </c>
    </row>
    <row r="8">
      <c r="A8" t="inlineStr">
        <is>
          <t>2.1</t>
        </is>
      </c>
      <c r="B8" t="inlineStr">
        <is>
          <t>Khảo sát nghiệp vụ thư viện, phỏng vấn thủ thư (giả định)</t>
        </is>
      </c>
      <c r="C8" t="inlineStr">
        <is>
          <t>Phân tích</t>
        </is>
      </c>
      <c r="D8" t="inlineStr">
        <is>
          <t>QA</t>
        </is>
      </c>
      <c r="E8" t="inlineStr">
        <is>
          <t>C</t>
        </is>
      </c>
      <c r="F8" s="5" t="inlineStr">
        <is>
          <t>M</t>
        </is>
      </c>
      <c r="G8" s="5" t="n">
        <v>12</v>
      </c>
      <c r="H8" s="6">
        <f>ROUND(G8*VLOOKUP(F8,GiaDinh!$A$14:$C$16,2,FALSE),1)</f>
        <v/>
      </c>
      <c r="I8" s="6">
        <f>ROUND(G8*VLOOKUP(F8,GiaDinh!$A$14:$C$16,3,FALSE),1)</f>
        <v/>
      </c>
      <c r="J8" s="12">
        <f>(H8+4*G8+I8)/6</f>
        <v/>
      </c>
      <c r="K8" s="13">
        <f>(I8-H8)/6</f>
        <v/>
      </c>
      <c r="L8" s="14">
        <f>J8*GiaDinh!$B$5</f>
        <v/>
      </c>
      <c r="M8" t="inlineStr">
        <is>
          <t>Biên bản khảo sát</t>
        </is>
      </c>
    </row>
    <row r="9">
      <c r="A9" t="inlineStr">
        <is>
          <t>2.2</t>
        </is>
      </c>
      <c r="B9" t="inlineStr">
        <is>
          <t>Đặc tả SRS IEEE 830 và 20 User Story</t>
        </is>
      </c>
      <c r="C9" t="inlineStr">
        <is>
          <t>Phân tích</t>
        </is>
      </c>
      <c r="D9" t="inlineStr">
        <is>
          <t>QA</t>
        </is>
      </c>
      <c r="E9" t="inlineStr">
        <is>
          <t>D</t>
        </is>
      </c>
      <c r="F9" s="5" t="inlineStr">
        <is>
          <t>M</t>
        </is>
      </c>
      <c r="G9" s="5" t="n">
        <v>26</v>
      </c>
      <c r="H9" s="6">
        <f>ROUND(G9*VLOOKUP(F9,GiaDinh!$A$14:$C$16,2,FALSE),1)</f>
        <v/>
      </c>
      <c r="I9" s="6">
        <f>ROUND(G9*VLOOKUP(F9,GiaDinh!$A$14:$C$16,3,FALSE),1)</f>
        <v/>
      </c>
      <c r="J9" s="12">
        <f>(H9+4*G9+I9)/6</f>
        <v/>
      </c>
      <c r="K9" s="13">
        <f>(I9-H9)/6</f>
        <v/>
      </c>
      <c r="L9" s="14">
        <f>J9*GiaDinh!$B$5</f>
        <v/>
      </c>
      <c r="M9" t="inlineStr">
        <is>
          <t>SRS, backlog</t>
        </is>
      </c>
    </row>
    <row r="10">
      <c r="A10" t="inlineStr">
        <is>
          <t>2.3</t>
        </is>
      </c>
      <c r="B10" t="inlineStr">
        <is>
          <t>Mô hình use case, quy tắc nghiệp vụ BR</t>
        </is>
      </c>
      <c r="C10" t="inlineStr">
        <is>
          <t>Phân tích</t>
        </is>
      </c>
      <c r="D10" t="inlineStr">
        <is>
          <t>QA</t>
        </is>
      </c>
      <c r="E10" t="inlineStr">
        <is>
          <t>D</t>
        </is>
      </c>
      <c r="F10" s="5" t="inlineStr">
        <is>
          <t>L</t>
        </is>
      </c>
      <c r="G10" s="5" t="n">
        <v>8</v>
      </c>
      <c r="H10" s="6">
        <f>ROUND(G10*VLOOKUP(F10,GiaDinh!$A$14:$C$16,2,FALSE),1)</f>
        <v/>
      </c>
      <c r="I10" s="6">
        <f>ROUND(G10*VLOOKUP(F10,GiaDinh!$A$14:$C$16,3,FALSE),1)</f>
        <v/>
      </c>
      <c r="J10" s="12">
        <f>(H10+4*G10+I10)/6</f>
        <v/>
      </c>
      <c r="K10" s="13">
        <f>(I10-H10)/6</f>
        <v/>
      </c>
      <c r="L10" s="14">
        <f>J10*GiaDinh!$B$5</f>
        <v/>
      </c>
      <c r="M10" t="inlineStr">
        <is>
          <t>Use case, BR-01..BR-08</t>
        </is>
      </c>
    </row>
    <row r="11">
      <c r="A11" t="inlineStr">
        <is>
          <t>3.1</t>
        </is>
      </c>
      <c r="B11" t="inlineStr">
        <is>
          <t>Thiết kế kiến trúc 3 dịch vụ và gateway</t>
        </is>
      </c>
      <c r="C11" t="inlineStr">
        <is>
          <t>Thiết kế</t>
        </is>
      </c>
      <c r="D11" t="inlineStr">
        <is>
          <t>PM</t>
        </is>
      </c>
      <c r="E11" t="inlineStr">
        <is>
          <t>E</t>
        </is>
      </c>
      <c r="F11" s="5" t="inlineStr">
        <is>
          <t>L</t>
        </is>
      </c>
      <c r="G11" s="5" t="n">
        <v>10</v>
      </c>
      <c r="H11" s="6">
        <f>ROUND(G11*VLOOKUP(F11,GiaDinh!$A$14:$C$16,2,FALSE),1)</f>
        <v/>
      </c>
      <c r="I11" s="6">
        <f>ROUND(G11*VLOOKUP(F11,GiaDinh!$A$14:$C$16,3,FALSE),1)</f>
        <v/>
      </c>
      <c r="J11" s="12">
        <f>(H11+4*G11+I11)/6</f>
        <v/>
      </c>
      <c r="K11" s="13">
        <f>(I11-H11)/6</f>
        <v/>
      </c>
      <c r="L11" s="14">
        <f>J11*GiaDinh!$B$5</f>
        <v/>
      </c>
      <c r="M11" t="inlineStr">
        <is>
          <t>Sơ đồ kiến trúc</t>
        </is>
      </c>
    </row>
    <row r="12">
      <c r="A12" t="inlineStr">
        <is>
          <t>3.2</t>
        </is>
      </c>
      <c r="B12" t="inlineStr">
        <is>
          <t>Thiết kế cơ sở dữ liệu: ERD 3NF, DDL</t>
        </is>
      </c>
      <c r="C12" t="inlineStr">
        <is>
          <t>Thiết kế</t>
        </is>
      </c>
      <c r="D12" t="inlineStr">
        <is>
          <t>BE</t>
        </is>
      </c>
      <c r="E12" t="inlineStr">
        <is>
          <t>E</t>
        </is>
      </c>
      <c r="F12" s="5" t="inlineStr">
        <is>
          <t>L</t>
        </is>
      </c>
      <c r="G12" s="5" t="n">
        <v>12</v>
      </c>
      <c r="H12" s="6">
        <f>ROUND(G12*VLOOKUP(F12,GiaDinh!$A$14:$C$16,2,FALSE),1)</f>
        <v/>
      </c>
      <c r="I12" s="6">
        <f>ROUND(G12*VLOOKUP(F12,GiaDinh!$A$14:$C$16,3,FALSE),1)</f>
        <v/>
      </c>
      <c r="J12" s="12">
        <f>(H12+4*G12+I12)/6</f>
        <v/>
      </c>
      <c r="K12" s="13">
        <f>(I12-H12)/6</f>
        <v/>
      </c>
      <c r="L12" s="14">
        <f>J12*GiaDinh!$B$5</f>
        <v/>
      </c>
      <c r="M12" t="inlineStr">
        <is>
          <t>ERD, migration</t>
        </is>
      </c>
    </row>
    <row r="13">
      <c r="A13" t="inlineStr">
        <is>
          <t>3.3</t>
        </is>
      </c>
      <c r="B13" t="inlineStr">
        <is>
          <t>Thiết kế API, đặc tả OpenAPI</t>
        </is>
      </c>
      <c r="C13" t="inlineStr">
        <is>
          <t>Thiết kế</t>
        </is>
      </c>
      <c r="D13" t="inlineStr">
        <is>
          <t>BE</t>
        </is>
      </c>
      <c r="E13" t="inlineStr">
        <is>
          <t>F</t>
        </is>
      </c>
      <c r="F13" s="5" t="inlineStr">
        <is>
          <t>L</t>
        </is>
      </c>
      <c r="G13" s="5" t="n">
        <v>10</v>
      </c>
      <c r="H13" s="6">
        <f>ROUND(G13*VLOOKUP(F13,GiaDinh!$A$14:$C$16,2,FALSE),1)</f>
        <v/>
      </c>
      <c r="I13" s="6">
        <f>ROUND(G13*VLOOKUP(F13,GiaDinh!$A$14:$C$16,3,FALSE),1)</f>
        <v/>
      </c>
      <c r="J13" s="12">
        <f>(H13+4*G13+I13)/6</f>
        <v/>
      </c>
      <c r="K13" s="13">
        <f>(I13-H13)/6</f>
        <v/>
      </c>
      <c r="L13" s="14">
        <f>J13*GiaDinh!$B$5</f>
        <v/>
      </c>
      <c r="M13" t="inlineStr">
        <is>
          <t>Đặc tả API</t>
        </is>
      </c>
    </row>
    <row r="14">
      <c r="A14" t="inlineStr">
        <is>
          <t>3.4</t>
        </is>
      </c>
      <c r="B14" t="inlineStr">
        <is>
          <t>Thiết kế giao diện, hệ thống thiết kế</t>
        </is>
      </c>
      <c r="C14" t="inlineStr">
        <is>
          <t>Thiết kế</t>
        </is>
      </c>
      <c r="D14" t="inlineStr">
        <is>
          <t>FE</t>
        </is>
      </c>
      <c r="E14" t="inlineStr">
        <is>
          <t>F</t>
        </is>
      </c>
      <c r="F14" s="5" t="inlineStr">
        <is>
          <t>M</t>
        </is>
      </c>
      <c r="G14" s="5" t="n">
        <v>14</v>
      </c>
      <c r="H14" s="6">
        <f>ROUND(G14*VLOOKUP(F14,GiaDinh!$A$14:$C$16,2,FALSE),1)</f>
        <v/>
      </c>
      <c r="I14" s="6">
        <f>ROUND(G14*VLOOKUP(F14,GiaDinh!$A$14:$C$16,3,FALSE),1)</f>
        <v/>
      </c>
      <c r="J14" s="12">
        <f>(H14+4*G14+I14)/6</f>
        <v/>
      </c>
      <c r="K14" s="13">
        <f>(I14-H14)/6</f>
        <v/>
      </c>
      <c r="L14" s="14">
        <f>J14*GiaDinh!$B$5</f>
        <v/>
      </c>
      <c r="M14" t="inlineStr">
        <is>
          <t>Wireframe, design token</t>
        </is>
      </c>
    </row>
    <row r="15">
      <c r="A15" t="inlineStr">
        <is>
          <t>3.5</t>
        </is>
      </c>
      <c r="B15" t="inlineStr">
        <is>
          <t>Thiết kế mô hình AI: đặc trưng, chỉ số</t>
        </is>
      </c>
      <c r="C15" t="inlineStr">
        <is>
          <t>Thiết kế</t>
        </is>
      </c>
      <c r="D15" t="inlineStr">
        <is>
          <t>FE</t>
        </is>
      </c>
      <c r="E15" t="inlineStr">
        <is>
          <t>G</t>
        </is>
      </c>
      <c r="F15" s="5" t="inlineStr">
        <is>
          <t>M</t>
        </is>
      </c>
      <c r="G15" s="5" t="n">
        <v>8</v>
      </c>
      <c r="H15" s="6">
        <f>ROUND(G15*VLOOKUP(F15,GiaDinh!$A$14:$C$16,2,FALSE),1)</f>
        <v/>
      </c>
      <c r="I15" s="6">
        <f>ROUND(G15*VLOOKUP(F15,GiaDinh!$A$14:$C$16,3,FALSE),1)</f>
        <v/>
      </c>
      <c r="J15" s="12">
        <f>(H15+4*G15+I15)/6</f>
        <v/>
      </c>
      <c r="K15" s="13">
        <f>(I15-H15)/6</f>
        <v/>
      </c>
      <c r="L15" s="14">
        <f>J15*GiaDinh!$B$5</f>
        <v/>
      </c>
      <c r="M15" t="inlineStr">
        <is>
          <t>Tài liệu mô hình</t>
        </is>
      </c>
    </row>
    <row r="16">
      <c r="A16" t="inlineStr">
        <is>
          <t>4.1.1</t>
        </is>
      </c>
      <c r="B16" t="inlineStr">
        <is>
          <t>Backend sách, tác giả, thể loại, bản sao</t>
        </is>
      </c>
      <c r="C16" t="inlineStr">
        <is>
          <t>Phát triển</t>
        </is>
      </c>
      <c r="D16" t="inlineStr">
        <is>
          <t>BE</t>
        </is>
      </c>
      <c r="E16" t="inlineStr">
        <is>
          <t>H</t>
        </is>
      </c>
      <c r="F16" s="5" t="inlineStr">
        <is>
          <t>M</t>
        </is>
      </c>
      <c r="G16" s="5" t="n">
        <v>18</v>
      </c>
      <c r="H16" s="6">
        <f>ROUND(G16*VLOOKUP(F16,GiaDinh!$A$14:$C$16,2,FALSE),1)</f>
        <v/>
      </c>
      <c r="I16" s="6">
        <f>ROUND(G16*VLOOKUP(F16,GiaDinh!$A$14:$C$16,3,FALSE),1)</f>
        <v/>
      </c>
      <c r="J16" s="12">
        <f>(H16+4*G16+I16)/6</f>
        <v/>
      </c>
      <c r="K16" s="13">
        <f>(I16-H16)/6</f>
        <v/>
      </c>
      <c r="L16" s="14">
        <f>J16*GiaDinh!$B$5</f>
        <v/>
      </c>
      <c r="M16" t="inlineStr">
        <is>
          <t>API quản lý kho</t>
        </is>
      </c>
    </row>
    <row r="17">
      <c r="A17" t="inlineStr">
        <is>
          <t>4.1.2</t>
        </is>
      </c>
      <c r="B17" t="inlineStr">
        <is>
          <t>Frontend quản lý kho sách</t>
        </is>
      </c>
      <c r="C17" t="inlineStr">
        <is>
          <t>Phát triển</t>
        </is>
      </c>
      <c r="D17" t="inlineStr">
        <is>
          <t>FE</t>
        </is>
      </c>
      <c r="E17" t="inlineStr">
        <is>
          <t>J</t>
        </is>
      </c>
      <c r="F17" s="5" t="inlineStr">
        <is>
          <t>M</t>
        </is>
      </c>
      <c r="G17" s="5" t="n">
        <v>14</v>
      </c>
      <c r="H17" s="6">
        <f>ROUND(G17*VLOOKUP(F17,GiaDinh!$A$14:$C$16,2,FALSE),1)</f>
        <v/>
      </c>
      <c r="I17" s="6">
        <f>ROUND(G17*VLOOKUP(F17,GiaDinh!$A$14:$C$16,3,FALSE),1)</f>
        <v/>
      </c>
      <c r="J17" s="12">
        <f>(H17+4*G17+I17)/6</f>
        <v/>
      </c>
      <c r="K17" s="13">
        <f>(I17-H17)/6</f>
        <v/>
      </c>
      <c r="L17" s="14">
        <f>J17*GiaDinh!$B$5</f>
        <v/>
      </c>
      <c r="M17" t="inlineStr">
        <is>
          <t>Trang kho sách</t>
        </is>
      </c>
    </row>
    <row r="18">
      <c r="A18" t="inlineStr">
        <is>
          <t>4.1.3</t>
        </is>
      </c>
      <c r="B18" t="inlineStr">
        <is>
          <t>Nhập ISBN Google Books và seed dữ liệu</t>
        </is>
      </c>
      <c r="C18" t="inlineStr">
        <is>
          <t>Phát triển</t>
        </is>
      </c>
      <c r="D18" t="inlineStr">
        <is>
          <t>BE</t>
        </is>
      </c>
      <c r="E18" t="inlineStr">
        <is>
          <t>H</t>
        </is>
      </c>
      <c r="F18" s="5" t="inlineStr">
        <is>
          <t>H</t>
        </is>
      </c>
      <c r="G18" s="5" t="n">
        <v>12</v>
      </c>
      <c r="H18" s="6">
        <f>ROUND(G18*VLOOKUP(F18,GiaDinh!$A$14:$C$16,2,FALSE),1)</f>
        <v/>
      </c>
      <c r="I18" s="6">
        <f>ROUND(G18*VLOOKUP(F18,GiaDinh!$A$14:$C$16,3,FALSE),1)</f>
        <v/>
      </c>
      <c r="J18" s="12">
        <f>(H18+4*G18+I18)/6</f>
        <v/>
      </c>
      <c r="K18" s="13">
        <f>(I18-H18)/6</f>
        <v/>
      </c>
      <c r="L18" s="14">
        <f>J18*GiaDinh!$B$5</f>
        <v/>
      </c>
      <c r="M18" t="inlineStr">
        <is>
          <t>Script seed, import ISBN</t>
        </is>
      </c>
    </row>
    <row r="19">
      <c r="A19" t="inlineStr">
        <is>
          <t>4.2.1</t>
        </is>
      </c>
      <c r="B19" t="inlineStr">
        <is>
          <t>Backend xác thực JWT, phân quyền, bạn đọc, chính sách</t>
        </is>
      </c>
      <c r="C19" t="inlineStr">
        <is>
          <t>Phát triển</t>
        </is>
      </c>
      <c r="D19" t="inlineStr">
        <is>
          <t>BE</t>
        </is>
      </c>
      <c r="E19" t="inlineStr">
        <is>
          <t>H</t>
        </is>
      </c>
      <c r="F19" s="5" t="inlineStr">
        <is>
          <t>M</t>
        </is>
      </c>
      <c r="G19" s="5" t="n">
        <v>18</v>
      </c>
      <c r="H19" s="6">
        <f>ROUND(G19*VLOOKUP(F19,GiaDinh!$A$14:$C$16,2,FALSE),1)</f>
        <v/>
      </c>
      <c r="I19" s="6">
        <f>ROUND(G19*VLOOKUP(F19,GiaDinh!$A$14:$C$16,3,FALSE),1)</f>
        <v/>
      </c>
      <c r="J19" s="12">
        <f>(H19+4*G19+I19)/6</f>
        <v/>
      </c>
      <c r="K19" s="13">
        <f>(I19-H19)/6</f>
        <v/>
      </c>
      <c r="L19" s="14">
        <f>J19*GiaDinh!$B$5</f>
        <v/>
      </c>
      <c r="M19" t="inlineStr">
        <is>
          <t>API auth, users, policies</t>
        </is>
      </c>
    </row>
    <row r="20">
      <c r="A20" t="inlineStr">
        <is>
          <t>4.2.2</t>
        </is>
      </c>
      <c r="B20" t="inlineStr">
        <is>
          <t>Frontend đăng nhập, đăng ký, hồ sơ, khoá thẻ</t>
        </is>
      </c>
      <c r="C20" t="inlineStr">
        <is>
          <t>Phát triển</t>
        </is>
      </c>
      <c r="D20" t="inlineStr">
        <is>
          <t>FE</t>
        </is>
      </c>
      <c r="E20" t="inlineStr">
        <is>
          <t>J</t>
        </is>
      </c>
      <c r="F20" s="5" t="inlineStr">
        <is>
          <t>L</t>
        </is>
      </c>
      <c r="G20" s="5" t="n">
        <v>12</v>
      </c>
      <c r="H20" s="6">
        <f>ROUND(G20*VLOOKUP(F20,GiaDinh!$A$14:$C$16,2,FALSE),1)</f>
        <v/>
      </c>
      <c r="I20" s="6">
        <f>ROUND(G20*VLOOKUP(F20,GiaDinh!$A$14:$C$16,3,FALSE),1)</f>
        <v/>
      </c>
      <c r="J20" s="12">
        <f>(H20+4*G20+I20)/6</f>
        <v/>
      </c>
      <c r="K20" s="13">
        <f>(I20-H20)/6</f>
        <v/>
      </c>
      <c r="L20" s="14">
        <f>J20*GiaDinh!$B$5</f>
        <v/>
      </c>
      <c r="M20" t="inlineStr">
        <is>
          <t>Trang tài khoản</t>
        </is>
      </c>
    </row>
    <row r="21">
      <c r="A21" t="inlineStr">
        <is>
          <t>4.3.1</t>
        </is>
      </c>
      <c r="B21" t="inlineStr">
        <is>
          <t>Backend mượn, trả, gia hạn, báo mất theo BR</t>
        </is>
      </c>
      <c r="C21" t="inlineStr">
        <is>
          <t>Phát triển</t>
        </is>
      </c>
      <c r="D21" t="inlineStr">
        <is>
          <t>PM</t>
        </is>
      </c>
      <c r="E21" t="inlineStr">
        <is>
          <t>I</t>
        </is>
      </c>
      <c r="F21" s="5" t="inlineStr">
        <is>
          <t>H</t>
        </is>
      </c>
      <c r="G21" s="5" t="n">
        <v>28</v>
      </c>
      <c r="H21" s="6">
        <f>ROUND(G21*VLOOKUP(F21,GiaDinh!$A$14:$C$16,2,FALSE),1)</f>
        <v/>
      </c>
      <c r="I21" s="6">
        <f>ROUND(G21*VLOOKUP(F21,GiaDinh!$A$14:$C$16,3,FALSE),1)</f>
        <v/>
      </c>
      <c r="J21" s="12">
        <f>(H21+4*G21+I21)/6</f>
        <v/>
      </c>
      <c r="K21" s="13">
        <f>(I21-H21)/6</f>
        <v/>
      </c>
      <c r="L21" s="14">
        <f>J21*GiaDinh!$B$5</f>
        <v/>
      </c>
      <c r="M21" t="inlineStr">
        <is>
          <t>API loans</t>
        </is>
      </c>
    </row>
    <row r="22">
      <c r="A22" t="inlineStr">
        <is>
          <t>4.3.2</t>
        </is>
      </c>
      <c r="B22" t="inlineStr">
        <is>
          <t>Backend tính phạt và thu phạt</t>
        </is>
      </c>
      <c r="C22" t="inlineStr">
        <is>
          <t>Phát triển</t>
        </is>
      </c>
      <c r="D22" t="inlineStr">
        <is>
          <t>BE</t>
        </is>
      </c>
      <c r="E22" t="inlineStr">
        <is>
          <t>I</t>
        </is>
      </c>
      <c r="F22" s="5" t="inlineStr">
        <is>
          <t>M</t>
        </is>
      </c>
      <c r="G22" s="5" t="n">
        <v>12</v>
      </c>
      <c r="H22" s="6">
        <f>ROUND(G22*VLOOKUP(F22,GiaDinh!$A$14:$C$16,2,FALSE),1)</f>
        <v/>
      </c>
      <c r="I22" s="6">
        <f>ROUND(G22*VLOOKUP(F22,GiaDinh!$A$14:$C$16,3,FALSE),1)</f>
        <v/>
      </c>
      <c r="J22" s="12">
        <f>(H22+4*G22+I22)/6</f>
        <v/>
      </c>
      <c r="K22" s="13">
        <f>(I22-H22)/6</f>
        <v/>
      </c>
      <c r="L22" s="14">
        <f>J22*GiaDinh!$B$5</f>
        <v/>
      </c>
      <c r="M22" t="inlineStr">
        <is>
          <t>API fines</t>
        </is>
      </c>
    </row>
    <row r="23">
      <c r="A23" t="inlineStr">
        <is>
          <t>4.3.3</t>
        </is>
      </c>
      <c r="B23" t="inlineStr">
        <is>
          <t>Frontend quầy mượn trả, sách của tôi</t>
        </is>
      </c>
      <c r="C23" t="inlineStr">
        <is>
          <t>Phát triển</t>
        </is>
      </c>
      <c r="D23" t="inlineStr">
        <is>
          <t>FE</t>
        </is>
      </c>
      <c r="E23" t="inlineStr">
        <is>
          <t>K</t>
        </is>
      </c>
      <c r="F23" s="5" t="inlineStr">
        <is>
          <t>M</t>
        </is>
      </c>
      <c r="G23" s="5" t="n">
        <v>18</v>
      </c>
      <c r="H23" s="6">
        <f>ROUND(G23*VLOOKUP(F23,GiaDinh!$A$14:$C$16,2,FALSE),1)</f>
        <v/>
      </c>
      <c r="I23" s="6">
        <f>ROUND(G23*VLOOKUP(F23,GiaDinh!$A$14:$C$16,3,FALSE),1)</f>
        <v/>
      </c>
      <c r="J23" s="12">
        <f>(H23+4*G23+I23)/6</f>
        <v/>
      </c>
      <c r="K23" s="13">
        <f>(I23-H23)/6</f>
        <v/>
      </c>
      <c r="L23" s="14">
        <f>J23*GiaDinh!$B$5</f>
        <v/>
      </c>
      <c r="M23" t="inlineStr">
        <is>
          <t>Trang quầy, my loans</t>
        </is>
      </c>
    </row>
    <row r="24">
      <c r="A24" t="inlineStr">
        <is>
          <t>4.4.1</t>
        </is>
      </c>
      <c r="B24" t="inlineStr">
        <is>
          <t>Backend tìm kiếm, lọc, phân trang</t>
        </is>
      </c>
      <c r="C24" t="inlineStr">
        <is>
          <t>Phát triển</t>
        </is>
      </c>
      <c r="D24" t="inlineStr">
        <is>
          <t>BE</t>
        </is>
      </c>
      <c r="E24" t="inlineStr">
        <is>
          <t>I</t>
        </is>
      </c>
      <c r="F24" s="5" t="inlineStr">
        <is>
          <t>L</t>
        </is>
      </c>
      <c r="G24" s="5" t="n">
        <v>8</v>
      </c>
      <c r="H24" s="6">
        <f>ROUND(G24*VLOOKUP(F24,GiaDinh!$A$14:$C$16,2,FALSE),1)</f>
        <v/>
      </c>
      <c r="I24" s="6">
        <f>ROUND(G24*VLOOKUP(F24,GiaDinh!$A$14:$C$16,3,FALSE),1)</f>
        <v/>
      </c>
      <c r="J24" s="12">
        <f>(H24+4*G24+I24)/6</f>
        <v/>
      </c>
      <c r="K24" s="13">
        <f>(I24-H24)/6</f>
        <v/>
      </c>
      <c r="L24" s="14">
        <f>J24*GiaDinh!$B$5</f>
        <v/>
      </c>
      <c r="M24" t="inlineStr">
        <is>
          <t>API tìm kiếm</t>
        </is>
      </c>
    </row>
    <row r="25">
      <c r="A25" t="inlineStr">
        <is>
          <t>4.4.2</t>
        </is>
      </c>
      <c r="B25" t="inlineStr">
        <is>
          <t>Frontend tra cứu sách, SEO</t>
        </is>
      </c>
      <c r="C25" t="inlineStr">
        <is>
          <t>Phát triển</t>
        </is>
      </c>
      <c r="D25" t="inlineStr">
        <is>
          <t>FE</t>
        </is>
      </c>
      <c r="E25" t="inlineStr">
        <is>
          <t>J</t>
        </is>
      </c>
      <c r="F25" s="5" t="inlineStr">
        <is>
          <t>M</t>
        </is>
      </c>
      <c r="G25" s="5" t="n">
        <v>14</v>
      </c>
      <c r="H25" s="6">
        <f>ROUND(G25*VLOOKUP(F25,GiaDinh!$A$14:$C$16,2,FALSE),1)</f>
        <v/>
      </c>
      <c r="I25" s="6">
        <f>ROUND(G25*VLOOKUP(F25,GiaDinh!$A$14:$C$16,3,FALSE),1)</f>
        <v/>
      </c>
      <c r="J25" s="12">
        <f>(H25+4*G25+I25)/6</f>
        <v/>
      </c>
      <c r="K25" s="13">
        <f>(I25-H25)/6</f>
        <v/>
      </c>
      <c r="L25" s="14">
        <f>J25*GiaDinh!$B$5</f>
        <v/>
      </c>
      <c r="M25" t="inlineStr">
        <is>
          <t>Trang tra cứu</t>
        </is>
      </c>
    </row>
    <row r="26">
      <c r="A26" t="inlineStr">
        <is>
          <t>4.5.1</t>
        </is>
      </c>
      <c r="B26" t="inlineStr">
        <is>
          <t>Backend bốn báo cáo thống kê</t>
        </is>
      </c>
      <c r="C26" t="inlineStr">
        <is>
          <t>Phát triển</t>
        </is>
      </c>
      <c r="D26" t="inlineStr">
        <is>
          <t>PM</t>
        </is>
      </c>
      <c r="E26" t="inlineStr">
        <is>
          <t>I</t>
        </is>
      </c>
      <c r="F26" s="5" t="inlineStr">
        <is>
          <t>L</t>
        </is>
      </c>
      <c r="G26" s="5" t="n">
        <v>8</v>
      </c>
      <c r="H26" s="6">
        <f>ROUND(G26*VLOOKUP(F26,GiaDinh!$A$14:$C$16,2,FALSE),1)</f>
        <v/>
      </c>
      <c r="I26" s="6">
        <f>ROUND(G26*VLOOKUP(F26,GiaDinh!$A$14:$C$16,3,FALSE),1)</f>
        <v/>
      </c>
      <c r="J26" s="12">
        <f>(H26+4*G26+I26)/6</f>
        <v/>
      </c>
      <c r="K26" s="13">
        <f>(I26-H26)/6</f>
        <v/>
      </c>
      <c r="L26" s="14">
        <f>J26*GiaDinh!$B$5</f>
        <v/>
      </c>
      <c r="M26" t="inlineStr">
        <is>
          <t>API reports</t>
        </is>
      </c>
    </row>
    <row r="27">
      <c r="A27" t="inlineStr">
        <is>
          <t>4.5.2</t>
        </is>
      </c>
      <c r="B27" t="inlineStr">
        <is>
          <t>Frontend bảng điều khiển biểu đồ</t>
        </is>
      </c>
      <c r="C27" t="inlineStr">
        <is>
          <t>Phát triển</t>
        </is>
      </c>
      <c r="D27" t="inlineStr">
        <is>
          <t>FE</t>
        </is>
      </c>
      <c r="E27" t="inlineStr">
        <is>
          <t>K</t>
        </is>
      </c>
      <c r="F27" s="5" t="inlineStr">
        <is>
          <t>M</t>
        </is>
      </c>
      <c r="G27" s="5" t="n">
        <v>12</v>
      </c>
      <c r="H27" s="6">
        <f>ROUND(G27*VLOOKUP(F27,GiaDinh!$A$14:$C$16,2,FALSE),1)</f>
        <v/>
      </c>
      <c r="I27" s="6">
        <f>ROUND(G27*VLOOKUP(F27,GiaDinh!$A$14:$C$16,3,FALSE),1)</f>
        <v/>
      </c>
      <c r="J27" s="12">
        <f>(H27+4*G27+I27)/6</f>
        <v/>
      </c>
      <c r="K27" s="13">
        <f>(I27-H27)/6</f>
        <v/>
      </c>
      <c r="L27" s="14">
        <f>J27*GiaDinh!$B$5</f>
        <v/>
      </c>
      <c r="M27" t="inlineStr">
        <is>
          <t>Dashboard</t>
        </is>
      </c>
    </row>
    <row r="28">
      <c r="A28" t="inlineStr">
        <is>
          <t>4.6.1</t>
        </is>
      </c>
      <c r="B28" t="inlineStr">
        <is>
          <t>AI gợi ý sách (TF-IDF, item-CF)</t>
        </is>
      </c>
      <c r="C28" t="inlineStr">
        <is>
          <t>Phát triển</t>
        </is>
      </c>
      <c r="D28" t="inlineStr">
        <is>
          <t>FE</t>
        </is>
      </c>
      <c r="E28" t="inlineStr">
        <is>
          <t>L</t>
        </is>
      </c>
      <c r="F28" s="5" t="inlineStr">
        <is>
          <t>H</t>
        </is>
      </c>
      <c r="G28" s="5" t="n">
        <v>18</v>
      </c>
      <c r="H28" s="6">
        <f>ROUND(G28*VLOOKUP(F28,GiaDinh!$A$14:$C$16,2,FALSE),1)</f>
        <v/>
      </c>
      <c r="I28" s="6">
        <f>ROUND(G28*VLOOKUP(F28,GiaDinh!$A$14:$C$16,3,FALSE),1)</f>
        <v/>
      </c>
      <c r="J28" s="12">
        <f>(H28+4*G28+I28)/6</f>
        <v/>
      </c>
      <c r="K28" s="13">
        <f>(I28-H28)/6</f>
        <v/>
      </c>
      <c r="L28" s="14">
        <f>J28*GiaDinh!$B$5</f>
        <v/>
      </c>
      <c r="M28" t="inlineStr">
        <is>
          <t>Mô hình gợi ý</t>
        </is>
      </c>
    </row>
    <row r="29">
      <c r="A29" t="inlineStr">
        <is>
          <t>4.6.2</t>
        </is>
      </c>
      <c r="B29" t="inlineStr">
        <is>
          <t>AI dự báo nguy cơ trả trễ</t>
        </is>
      </c>
      <c r="C29" t="inlineStr">
        <is>
          <t>Phát triển</t>
        </is>
      </c>
      <c r="D29" t="inlineStr">
        <is>
          <t>FE</t>
        </is>
      </c>
      <c r="E29" t="inlineStr">
        <is>
          <t>L</t>
        </is>
      </c>
      <c r="F29" s="5" t="inlineStr">
        <is>
          <t>H</t>
        </is>
      </c>
      <c r="G29" s="5" t="n">
        <v>14</v>
      </c>
      <c r="H29" s="6">
        <f>ROUND(G29*VLOOKUP(F29,GiaDinh!$A$14:$C$16,2,FALSE),1)</f>
        <v/>
      </c>
      <c r="I29" s="6">
        <f>ROUND(G29*VLOOKUP(F29,GiaDinh!$A$14:$C$16,3,FALSE),1)</f>
        <v/>
      </c>
      <c r="J29" s="12">
        <f>(H29+4*G29+I29)/6</f>
        <v/>
      </c>
      <c r="K29" s="13">
        <f>(I29-H29)/6</f>
        <v/>
      </c>
      <c r="L29" s="14">
        <f>J29*GiaDinh!$B$5</f>
        <v/>
      </c>
      <c r="M29" t="inlineStr">
        <is>
          <t>Mô hình dự báo</t>
        </is>
      </c>
    </row>
    <row r="30">
      <c r="A30" t="inlineStr">
        <is>
          <t>4.6.3</t>
        </is>
      </c>
      <c r="B30" t="inlineStr">
        <is>
          <t>Tích hợp Backend-AI, fallback, hiển thị</t>
        </is>
      </c>
      <c r="C30" t="inlineStr">
        <is>
          <t>Phát triển</t>
        </is>
      </c>
      <c r="D30" t="inlineStr">
        <is>
          <t>PM</t>
        </is>
      </c>
      <c r="E30" t="inlineStr">
        <is>
          <t>M</t>
        </is>
      </c>
      <c r="F30" s="5" t="inlineStr">
        <is>
          <t>H</t>
        </is>
      </c>
      <c r="G30" s="5" t="n">
        <v>12</v>
      </c>
      <c r="H30" s="6">
        <f>ROUND(G30*VLOOKUP(F30,GiaDinh!$A$14:$C$16,2,FALSE),1)</f>
        <v/>
      </c>
      <c r="I30" s="6">
        <f>ROUND(G30*VLOOKUP(F30,GiaDinh!$A$14:$C$16,3,FALSE),1)</f>
        <v/>
      </c>
      <c r="J30" s="12">
        <f>(H30+4*G30+I30)/6</f>
        <v/>
      </c>
      <c r="K30" s="13">
        <f>(I30-H30)/6</f>
        <v/>
      </c>
      <c r="L30" s="14">
        <f>J30*GiaDinh!$B$5</f>
        <v/>
      </c>
      <c r="M30" t="inlineStr">
        <is>
          <t>Client AI, fallback</t>
        </is>
      </c>
    </row>
    <row r="31">
      <c r="A31" t="inlineStr">
        <is>
          <t>4.7.1</t>
        </is>
      </c>
      <c r="B31" t="inlineStr">
        <is>
          <t>Tích hợp Frontend-Backend-gateway, xử lý lỗi</t>
        </is>
      </c>
      <c r="C31" t="inlineStr">
        <is>
          <t>Phát triển</t>
        </is>
      </c>
      <c r="D31" t="inlineStr">
        <is>
          <t>PM</t>
        </is>
      </c>
      <c r="E31" t="inlineStr">
        <is>
          <t>M</t>
        </is>
      </c>
      <c r="F31" s="5" t="inlineStr">
        <is>
          <t>M</t>
        </is>
      </c>
      <c r="G31" s="5" t="n">
        <v>10</v>
      </c>
      <c r="H31" s="6">
        <f>ROUND(G31*VLOOKUP(F31,GiaDinh!$A$14:$C$16,2,FALSE),1)</f>
        <v/>
      </c>
      <c r="I31" s="6">
        <f>ROUND(G31*VLOOKUP(F31,GiaDinh!$A$14:$C$16,3,FALSE),1)</f>
        <v/>
      </c>
      <c r="J31" s="12">
        <f>(H31+4*G31+I31)/6</f>
        <v/>
      </c>
      <c r="K31" s="13">
        <f>(I31-H31)/6</f>
        <v/>
      </c>
      <c r="L31" s="14">
        <f>J31*GiaDinh!$B$5</f>
        <v/>
      </c>
      <c r="M31" t="inlineStr">
        <is>
          <t>Hệ thống chạy trọn</t>
        </is>
      </c>
    </row>
    <row r="32">
      <c r="A32" t="inlineStr">
        <is>
          <t>4.7.2</t>
        </is>
      </c>
      <c r="B32" t="inlineStr">
        <is>
          <t>Hoàn thiện giao diện, responsive</t>
        </is>
      </c>
      <c r="C32" t="inlineStr">
        <is>
          <t>Phát triển</t>
        </is>
      </c>
      <c r="D32" t="inlineStr">
        <is>
          <t>FE</t>
        </is>
      </c>
      <c r="E32" t="inlineStr">
        <is>
          <t>M</t>
        </is>
      </c>
      <c r="F32" s="5" t="inlineStr">
        <is>
          <t>L</t>
        </is>
      </c>
      <c r="G32" s="5" t="n">
        <v>10</v>
      </c>
      <c r="H32" s="6">
        <f>ROUND(G32*VLOOKUP(F32,GiaDinh!$A$14:$C$16,2,FALSE),1)</f>
        <v/>
      </c>
      <c r="I32" s="6">
        <f>ROUND(G32*VLOOKUP(F32,GiaDinh!$A$14:$C$16,3,FALSE),1)</f>
        <v/>
      </c>
      <c r="J32" s="12">
        <f>(H32+4*G32+I32)/6</f>
        <v/>
      </c>
      <c r="K32" s="13">
        <f>(I32-H32)/6</f>
        <v/>
      </c>
      <c r="L32" s="14">
        <f>J32*GiaDinh!$B$5</f>
        <v/>
      </c>
      <c r="M32" t="inlineStr">
        <is>
          <t>UI hoàn chỉnh</t>
        </is>
      </c>
    </row>
    <row r="33">
      <c r="A33" t="inlineStr">
        <is>
          <t>5.1</t>
        </is>
      </c>
      <c r="B33" t="inlineStr">
        <is>
          <t>Kế hoạch kiểm thử, thiết kế ca kiểm thử</t>
        </is>
      </c>
      <c r="C33" t="inlineStr">
        <is>
          <t>Kiểm thử</t>
        </is>
      </c>
      <c r="D33" t="inlineStr">
        <is>
          <t>QA</t>
        </is>
      </c>
      <c r="E33" t="inlineStr">
        <is>
          <t>N</t>
        </is>
      </c>
      <c r="F33" s="5" t="inlineStr">
        <is>
          <t>L</t>
        </is>
      </c>
      <c r="G33" s="5" t="n">
        <v>10</v>
      </c>
      <c r="H33" s="6">
        <f>ROUND(G33*VLOOKUP(F33,GiaDinh!$A$14:$C$16,2,FALSE),1)</f>
        <v/>
      </c>
      <c r="I33" s="6">
        <f>ROUND(G33*VLOOKUP(F33,GiaDinh!$A$14:$C$16,3,FALSE),1)</f>
        <v/>
      </c>
      <c r="J33" s="12">
        <f>(H33+4*G33+I33)/6</f>
        <v/>
      </c>
      <c r="K33" s="13">
        <f>(I33-H33)/6</f>
        <v/>
      </c>
      <c r="L33" s="14">
        <f>J33*GiaDinh!$B$5</f>
        <v/>
      </c>
      <c r="M33" t="inlineStr">
        <is>
          <t>Test plan</t>
        </is>
      </c>
    </row>
    <row r="34">
      <c r="A34" t="inlineStr">
        <is>
          <t>5.2</t>
        </is>
      </c>
      <c r="B34" t="inlineStr">
        <is>
          <t>Kiểm thử đơn vị Backend và AI</t>
        </is>
      </c>
      <c r="C34" t="inlineStr">
        <is>
          <t>Kiểm thử</t>
        </is>
      </c>
      <c r="D34" t="inlineStr">
        <is>
          <t>QA</t>
        </is>
      </c>
      <c r="E34" t="inlineStr">
        <is>
          <t>N</t>
        </is>
      </c>
      <c r="F34" s="5" t="inlineStr">
        <is>
          <t>M</t>
        </is>
      </c>
      <c r="G34" s="5" t="n">
        <v>26</v>
      </c>
      <c r="H34" s="6">
        <f>ROUND(G34*VLOOKUP(F34,GiaDinh!$A$14:$C$16,2,FALSE),1)</f>
        <v/>
      </c>
      <c r="I34" s="6">
        <f>ROUND(G34*VLOOKUP(F34,GiaDinh!$A$14:$C$16,3,FALSE),1)</f>
        <v/>
      </c>
      <c r="J34" s="12">
        <f>(H34+4*G34+I34)/6</f>
        <v/>
      </c>
      <c r="K34" s="13">
        <f>(I34-H34)/6</f>
        <v/>
      </c>
      <c r="L34" s="14">
        <f>J34*GiaDinh!$B$5</f>
        <v/>
      </c>
      <c r="M34" t="inlineStr">
        <is>
          <t>Unit test, coverage</t>
        </is>
      </c>
    </row>
    <row r="35">
      <c r="A35" t="inlineStr">
        <is>
          <t>5.3</t>
        </is>
      </c>
      <c r="B35" t="inlineStr">
        <is>
          <t>Kiểm thử tích hợp, e2e trên DB thật</t>
        </is>
      </c>
      <c r="C35" t="inlineStr">
        <is>
          <t>Kiểm thử</t>
        </is>
      </c>
      <c r="D35" t="inlineStr">
        <is>
          <t>QA</t>
        </is>
      </c>
      <c r="E35" t="inlineStr">
        <is>
          <t>N</t>
        </is>
      </c>
      <c r="F35" s="5" t="inlineStr">
        <is>
          <t>M</t>
        </is>
      </c>
      <c r="G35" s="5" t="n">
        <v>16</v>
      </c>
      <c r="H35" s="6">
        <f>ROUND(G35*VLOOKUP(F35,GiaDinh!$A$14:$C$16,2,FALSE),1)</f>
        <v/>
      </c>
      <c r="I35" s="6">
        <f>ROUND(G35*VLOOKUP(F35,GiaDinh!$A$14:$C$16,3,FALSE),1)</f>
        <v/>
      </c>
      <c r="J35" s="12">
        <f>(H35+4*G35+I35)/6</f>
        <v/>
      </c>
      <c r="K35" s="13">
        <f>(I35-H35)/6</f>
        <v/>
      </c>
      <c r="L35" s="14">
        <f>J35*GiaDinh!$B$5</f>
        <v/>
      </c>
      <c r="M35" t="inlineStr">
        <is>
          <t>e2e test</t>
        </is>
      </c>
    </row>
    <row r="36">
      <c r="A36" t="inlineStr">
        <is>
          <t>5.4</t>
        </is>
      </c>
      <c r="B36" t="inlineStr">
        <is>
          <t>Kiểm thử hệ thống, smoke API, hiệu năng</t>
        </is>
      </c>
      <c r="C36" t="inlineStr">
        <is>
          <t>Kiểm thử</t>
        </is>
      </c>
      <c r="D36" t="inlineStr">
        <is>
          <t>QA</t>
        </is>
      </c>
      <c r="E36" t="inlineStr">
        <is>
          <t>O</t>
        </is>
      </c>
      <c r="F36" s="5" t="inlineStr">
        <is>
          <t>M</t>
        </is>
      </c>
      <c r="G36" s="5" t="n">
        <v>12</v>
      </c>
      <c r="H36" s="6">
        <f>ROUND(G36*VLOOKUP(F36,GiaDinh!$A$14:$C$16,2,FALSE),1)</f>
        <v/>
      </c>
      <c r="I36" s="6">
        <f>ROUND(G36*VLOOKUP(F36,GiaDinh!$A$14:$C$16,3,FALSE),1)</f>
        <v/>
      </c>
      <c r="J36" s="12">
        <f>(H36+4*G36+I36)/6</f>
        <v/>
      </c>
      <c r="K36" s="13">
        <f>(I36-H36)/6</f>
        <v/>
      </c>
      <c r="L36" s="14">
        <f>J36*GiaDinh!$B$5</f>
        <v/>
      </c>
      <c r="M36" t="inlineStr">
        <is>
          <t>Báo cáo kiểm thử</t>
        </is>
      </c>
    </row>
    <row r="37">
      <c r="A37" t="inlineStr">
        <is>
          <t>5.5</t>
        </is>
      </c>
      <c r="B37" t="inlineStr">
        <is>
          <t>Kiểm thử chấp nhận (UAT)</t>
        </is>
      </c>
      <c r="C37" t="inlineStr">
        <is>
          <t>Kiểm thử</t>
        </is>
      </c>
      <c r="D37" t="inlineStr">
        <is>
          <t>QA</t>
        </is>
      </c>
      <c r="E37" t="inlineStr">
        <is>
          <t>O</t>
        </is>
      </c>
      <c r="F37" s="5" t="inlineStr">
        <is>
          <t>M</t>
        </is>
      </c>
      <c r="G37" s="5" t="n">
        <v>10</v>
      </c>
      <c r="H37" s="6">
        <f>ROUND(G37*VLOOKUP(F37,GiaDinh!$A$14:$C$16,2,FALSE),1)</f>
        <v/>
      </c>
      <c r="I37" s="6">
        <f>ROUND(G37*VLOOKUP(F37,GiaDinh!$A$14:$C$16,3,FALSE),1)</f>
        <v/>
      </c>
      <c r="J37" s="12">
        <f>(H37+4*G37+I37)/6</f>
        <v/>
      </c>
      <c r="K37" s="13">
        <f>(I37-H37)/6</f>
        <v/>
      </c>
      <c r="L37" s="14">
        <f>J37*GiaDinh!$B$5</f>
        <v/>
      </c>
      <c r="M37" t="inlineStr">
        <is>
          <t>Biên bản UAT</t>
        </is>
      </c>
    </row>
    <row r="38">
      <c r="A38" t="inlineStr">
        <is>
          <t>6.1</t>
        </is>
      </c>
      <c r="B38" t="inlineStr">
        <is>
          <t>Đóng gói Docker, docker-compose</t>
        </is>
      </c>
      <c r="C38" t="inlineStr">
        <is>
          <t>Triển khai</t>
        </is>
      </c>
      <c r="D38" t="inlineStr">
        <is>
          <t>BE</t>
        </is>
      </c>
      <c r="E38" t="inlineStr">
        <is>
          <t>Q</t>
        </is>
      </c>
      <c r="F38" s="5" t="inlineStr">
        <is>
          <t>L</t>
        </is>
      </c>
      <c r="G38" s="5" t="n">
        <v>10</v>
      </c>
      <c r="H38" s="6">
        <f>ROUND(G38*VLOOKUP(F38,GiaDinh!$A$14:$C$16,2,FALSE),1)</f>
        <v/>
      </c>
      <c r="I38" s="6">
        <f>ROUND(G38*VLOOKUP(F38,GiaDinh!$A$14:$C$16,3,FALSE),1)</f>
        <v/>
      </c>
      <c r="J38" s="12">
        <f>(H38+4*G38+I38)/6</f>
        <v/>
      </c>
      <c r="K38" s="13">
        <f>(I38-H38)/6</f>
        <v/>
      </c>
      <c r="L38" s="14">
        <f>J38*GiaDinh!$B$5</f>
        <v/>
      </c>
      <c r="M38" t="inlineStr">
        <is>
          <t>Dockerfile, compose</t>
        </is>
      </c>
    </row>
    <row r="39">
      <c r="A39" t="inlineStr">
        <is>
          <t>6.2</t>
        </is>
      </c>
      <c r="B39" t="inlineStr">
        <is>
          <t>CI/CD GitHub Actions</t>
        </is>
      </c>
      <c r="C39" t="inlineStr">
        <is>
          <t>Triển khai</t>
        </is>
      </c>
      <c r="D39" t="inlineStr">
        <is>
          <t>BE</t>
        </is>
      </c>
      <c r="E39" t="inlineStr">
        <is>
          <t>Q</t>
        </is>
      </c>
      <c r="F39" s="5" t="inlineStr">
        <is>
          <t>M</t>
        </is>
      </c>
      <c r="G39" s="5" t="n">
        <v>12</v>
      </c>
      <c r="H39" s="6">
        <f>ROUND(G39*VLOOKUP(F39,GiaDinh!$A$14:$C$16,2,FALSE),1)</f>
        <v/>
      </c>
      <c r="I39" s="6">
        <f>ROUND(G39*VLOOKUP(F39,GiaDinh!$A$14:$C$16,3,FALSE),1)</f>
        <v/>
      </c>
      <c r="J39" s="12">
        <f>(H39+4*G39+I39)/6</f>
        <v/>
      </c>
      <c r="K39" s="13">
        <f>(I39-H39)/6</f>
        <v/>
      </c>
      <c r="L39" s="14">
        <f>J39*GiaDinh!$B$5</f>
        <v/>
      </c>
      <c r="M39" t="inlineStr">
        <is>
          <t>Pipeline CI/CD</t>
        </is>
      </c>
    </row>
    <row r="40">
      <c r="A40" t="inlineStr">
        <is>
          <t>6.3</t>
        </is>
      </c>
      <c r="B40" t="inlineStr">
        <is>
          <t>Triển khai cloud (Vercel, Render, Neon)</t>
        </is>
      </c>
      <c r="C40" t="inlineStr">
        <is>
          <t>Triển khai</t>
        </is>
      </c>
      <c r="D40" t="inlineStr">
        <is>
          <t>BE</t>
        </is>
      </c>
      <c r="E40" t="inlineStr">
        <is>
          <t>P</t>
        </is>
      </c>
      <c r="F40" s="5" t="inlineStr">
        <is>
          <t>H</t>
        </is>
      </c>
      <c r="G40" s="5" t="n">
        <v>12</v>
      </c>
      <c r="H40" s="6">
        <f>ROUND(G40*VLOOKUP(F40,GiaDinh!$A$14:$C$16,2,FALSE),1)</f>
        <v/>
      </c>
      <c r="I40" s="6">
        <f>ROUND(G40*VLOOKUP(F40,GiaDinh!$A$14:$C$16,3,FALSE),1)</f>
        <v/>
      </c>
      <c r="J40" s="12">
        <f>(H40+4*G40+I40)/6</f>
        <v/>
      </c>
      <c r="K40" s="13">
        <f>(I40-H40)/6</f>
        <v/>
      </c>
      <c r="L40" s="14">
        <f>J40*GiaDinh!$B$5</f>
        <v/>
      </c>
      <c r="M40" t="inlineStr">
        <is>
          <t>Bản chạy trực tuyến</t>
        </is>
      </c>
    </row>
    <row r="41">
      <c r="A41" t="inlineStr">
        <is>
          <t>6.4</t>
        </is>
      </c>
      <c r="B41" t="inlineStr">
        <is>
          <t>Tài liệu hướng dẫn, đào tạo thủ thư</t>
        </is>
      </c>
      <c r="C41" t="inlineStr">
        <is>
          <t>Triển khai</t>
        </is>
      </c>
      <c r="D41" t="inlineStr">
        <is>
          <t>QA</t>
        </is>
      </c>
      <c r="E41" t="inlineStr">
        <is>
          <t>R</t>
        </is>
      </c>
      <c r="F41" s="5" t="inlineStr">
        <is>
          <t>L</t>
        </is>
      </c>
      <c r="G41" s="5" t="n">
        <v>10</v>
      </c>
      <c r="H41" s="6">
        <f>ROUND(G41*VLOOKUP(F41,GiaDinh!$A$14:$C$16,2,FALSE),1)</f>
        <v/>
      </c>
      <c r="I41" s="6">
        <f>ROUND(G41*VLOOKUP(F41,GiaDinh!$A$14:$C$16,3,FALSE),1)</f>
        <v/>
      </c>
      <c r="J41" s="12">
        <f>(H41+4*G41+I41)/6</f>
        <v/>
      </c>
      <c r="K41" s="13">
        <f>(I41-H41)/6</f>
        <v/>
      </c>
      <c r="L41" s="14">
        <f>J41*GiaDinh!$B$5</f>
        <v/>
      </c>
      <c r="M41" t="inlineStr">
        <is>
          <t>Hướng dẫn sử dụng</t>
        </is>
      </c>
    </row>
    <row r="42">
      <c r="A42" t="inlineStr">
        <is>
          <t>6.5</t>
        </is>
      </c>
      <c r="B42" t="inlineStr">
        <is>
          <t>Chuyển đổi dữ liệu, vận hành thử</t>
        </is>
      </c>
      <c r="C42" t="inlineStr">
        <is>
          <t>Triển khai</t>
        </is>
      </c>
      <c r="D42" t="inlineStr">
        <is>
          <t>QA</t>
        </is>
      </c>
      <c r="E42" t="inlineStr">
        <is>
          <t>P</t>
        </is>
      </c>
      <c r="F42" s="5" t="inlineStr">
        <is>
          <t>M</t>
        </is>
      </c>
      <c r="G42" s="5" t="n">
        <v>6</v>
      </c>
      <c r="H42" s="6">
        <f>ROUND(G42*VLOOKUP(F42,GiaDinh!$A$14:$C$16,2,FALSE),1)</f>
        <v/>
      </c>
      <c r="I42" s="6">
        <f>ROUND(G42*VLOOKUP(F42,GiaDinh!$A$14:$C$16,3,FALSE),1)</f>
        <v/>
      </c>
      <c r="J42" s="12">
        <f>(H42+4*G42+I42)/6</f>
        <v/>
      </c>
      <c r="K42" s="13">
        <f>(I42-H42)/6</f>
        <v/>
      </c>
      <c r="L42" s="14">
        <f>J42*GiaDinh!$B$5</f>
        <v/>
      </c>
      <c r="M42" t="inlineStr">
        <is>
          <t>Dữ liệu nạp, vận hành thử</t>
        </is>
      </c>
    </row>
    <row r="43">
      <c r="A43" t="inlineStr">
        <is>
          <t>7.1</t>
        </is>
      </c>
      <c r="B43" t="inlineStr">
        <is>
          <t>Họp tuần, theo dõi tiến độ</t>
        </is>
      </c>
      <c r="C43" t="inlineStr">
        <is>
          <t>Quản lý dự án</t>
        </is>
      </c>
      <c r="D43" t="inlineStr">
        <is>
          <t>PM</t>
        </is>
      </c>
      <c r="E43" t="inlineStr">
        <is>
          <t>LOE</t>
        </is>
      </c>
      <c r="F43" s="5" t="inlineStr">
        <is>
          <t>L</t>
        </is>
      </c>
      <c r="G43" s="5" t="n">
        <v>26</v>
      </c>
      <c r="H43" s="6">
        <f>ROUND(G43*VLOOKUP(F43,GiaDinh!$A$14:$C$16,2,FALSE),1)</f>
        <v/>
      </c>
      <c r="I43" s="6">
        <f>ROUND(G43*VLOOKUP(F43,GiaDinh!$A$14:$C$16,3,FALSE),1)</f>
        <v/>
      </c>
      <c r="J43" s="12">
        <f>(H43+4*G43+I43)/6</f>
        <v/>
      </c>
      <c r="K43" s="13">
        <f>(I43-H43)/6</f>
        <v/>
      </c>
      <c r="L43" s="14">
        <f>J43*GiaDinh!$B$5</f>
        <v/>
      </c>
      <c r="M43" t="inlineStr">
        <is>
          <t>Biên bản họp</t>
        </is>
      </c>
    </row>
    <row r="44">
      <c r="A44" t="inlineStr">
        <is>
          <t>7.2</t>
        </is>
      </c>
      <c r="B44" t="inlineStr">
        <is>
          <t>Quản lý rủi ro và thay đổi</t>
        </is>
      </c>
      <c r="C44" t="inlineStr">
        <is>
          <t>Quản lý dự án</t>
        </is>
      </c>
      <c r="D44" t="inlineStr">
        <is>
          <t>PM</t>
        </is>
      </c>
      <c r="E44" t="inlineStr">
        <is>
          <t>LOE</t>
        </is>
      </c>
      <c r="F44" s="5" t="inlineStr">
        <is>
          <t>L</t>
        </is>
      </c>
      <c r="G44" s="5" t="n">
        <v>10</v>
      </c>
      <c r="H44" s="6">
        <f>ROUND(G44*VLOOKUP(F44,GiaDinh!$A$14:$C$16,2,FALSE),1)</f>
        <v/>
      </c>
      <c r="I44" s="6">
        <f>ROUND(G44*VLOOKUP(F44,GiaDinh!$A$14:$C$16,3,FALSE),1)</f>
        <v/>
      </c>
      <c r="J44" s="12">
        <f>(H44+4*G44+I44)/6</f>
        <v/>
      </c>
      <c r="K44" s="13">
        <f>(I44-H44)/6</f>
        <v/>
      </c>
      <c r="L44" s="14">
        <f>J44*GiaDinh!$B$5</f>
        <v/>
      </c>
      <c r="M44" t="inlineStr">
        <is>
          <t>Sổ rủi ro, CR log</t>
        </is>
      </c>
    </row>
    <row r="45">
      <c r="A45" t="inlineStr">
        <is>
          <t>7.3</t>
        </is>
      </c>
      <c r="B45" t="inlineStr">
        <is>
          <t>Báo cáo EVA và kiểm soát</t>
        </is>
      </c>
      <c r="C45" t="inlineStr">
        <is>
          <t>Quản lý dự án</t>
        </is>
      </c>
      <c r="D45" t="inlineStr">
        <is>
          <t>PM</t>
        </is>
      </c>
      <c r="E45" t="inlineStr">
        <is>
          <t>LOE</t>
        </is>
      </c>
      <c r="F45" s="5" t="inlineStr">
        <is>
          <t>L</t>
        </is>
      </c>
      <c r="G45" s="5" t="n">
        <v>10</v>
      </c>
      <c r="H45" s="6">
        <f>ROUND(G45*VLOOKUP(F45,GiaDinh!$A$14:$C$16,2,FALSE),1)</f>
        <v/>
      </c>
      <c r="I45" s="6">
        <f>ROUND(G45*VLOOKUP(F45,GiaDinh!$A$14:$C$16,3,FALSE),1)</f>
        <v/>
      </c>
      <c r="J45" s="12">
        <f>(H45+4*G45+I45)/6</f>
        <v/>
      </c>
      <c r="K45" s="13">
        <f>(I45-H45)/6</f>
        <v/>
      </c>
      <c r="L45" s="14">
        <f>J45*GiaDinh!$B$5</f>
        <v/>
      </c>
      <c r="M45" t="inlineStr">
        <is>
          <t>Báo cáo EVA</t>
        </is>
      </c>
    </row>
    <row r="46">
      <c r="A46" t="inlineStr">
        <is>
          <t>7.4</t>
        </is>
      </c>
      <c r="B46" t="inlineStr">
        <is>
          <t>Nghiệm thu, báo cáo cuối, bàn giao</t>
        </is>
      </c>
      <c r="C46" t="inlineStr">
        <is>
          <t>Quản lý dự án</t>
        </is>
      </c>
      <c r="D46" t="inlineStr">
        <is>
          <t>PM</t>
        </is>
      </c>
      <c r="E46" t="inlineStr">
        <is>
          <t>S</t>
        </is>
      </c>
      <c r="F46" s="5" t="inlineStr">
        <is>
          <t>L</t>
        </is>
      </c>
      <c r="G46" s="5" t="n">
        <v>10</v>
      </c>
      <c r="H46" s="6">
        <f>ROUND(G46*VLOOKUP(F46,GiaDinh!$A$14:$C$16,2,FALSE),1)</f>
        <v/>
      </c>
      <c r="I46" s="6">
        <f>ROUND(G46*VLOOKUP(F46,GiaDinh!$A$14:$C$16,3,FALSE),1)</f>
        <v/>
      </c>
      <c r="J46" s="12">
        <f>(H46+4*G46+I46)/6</f>
        <v/>
      </c>
      <c r="K46" s="13">
        <f>(I46-H46)/6</f>
        <v/>
      </c>
      <c r="L46" s="14">
        <f>J46*GiaDinh!$B$5</f>
        <v/>
      </c>
      <c r="M46" t="inlineStr">
        <is>
          <t>Biên bản nghiệm thu</t>
        </is>
      </c>
    </row>
    <row r="47">
      <c r="B47" s="4" t="inlineStr">
        <is>
          <t>TỔNG (BAC)</t>
        </is>
      </c>
      <c r="G47" s="15">
        <f>SUM(G5:G46)</f>
        <v/>
      </c>
      <c r="J47" s="16">
        <f>SUM(J5:J46)</f>
        <v/>
      </c>
      <c r="L47" s="17">
        <f>SUM(L5:L46)</f>
        <v/>
      </c>
    </row>
    <row r="48">
      <c r="B48" t="inlineStr">
        <is>
          <t>Dự phòng quản lý</t>
        </is>
      </c>
      <c r="L48" s="18">
        <f>L47*GiaDinh!$B$9</f>
        <v/>
      </c>
    </row>
    <row r="49">
      <c r="B49" s="4" t="inlineStr">
        <is>
          <t>Ngân sách đề xuất (BAC + dự phòng)</t>
        </is>
      </c>
      <c r="L49" s="18">
        <f>L47+L48</f>
        <v/>
      </c>
    </row>
    <row r="51">
      <c r="B51" s="4" t="inlineStr">
        <is>
          <t>Tổng theo pha WBS cấp 1</t>
        </is>
      </c>
    </row>
    <row r="52" ht="32" customHeight="1">
      <c r="A52" s="3" t="inlineStr">
        <is>
          <t>Mã</t>
        </is>
      </c>
      <c r="B52" s="3" t="inlineStr">
        <is>
          <t>Pha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E (giờ)</t>
        </is>
      </c>
      <c r="K52" s="3" t="inlineStr">
        <is>
          <t>% giờ</t>
        </is>
      </c>
      <c r="L52" s="3" t="inlineStr">
        <is>
          <t>Chi phí (đ)</t>
        </is>
      </c>
    </row>
    <row r="53">
      <c r="A53" t="inlineStr">
        <is>
          <t>1</t>
        </is>
      </c>
      <c r="B53" t="inlineStr">
        <is>
          <t>Khởi tạo</t>
        </is>
      </c>
      <c r="J53" s="19">
        <f>SUMIF($C$5:$C$46,B53,$J$5:$J$46)</f>
        <v/>
      </c>
      <c r="K53" s="20">
        <f>J53/$J$47</f>
        <v/>
      </c>
      <c r="L53" s="18">
        <f>J53*GiaDinh!$B$5</f>
        <v/>
      </c>
    </row>
    <row r="54">
      <c r="A54" t="inlineStr">
        <is>
          <t>2</t>
        </is>
      </c>
      <c r="B54" t="inlineStr">
        <is>
          <t>Phân tích</t>
        </is>
      </c>
      <c r="J54" s="19">
        <f>SUMIF($C$5:$C$46,B54,$J$5:$J$46)</f>
        <v/>
      </c>
      <c r="K54" s="20">
        <f>J54/$J$47</f>
        <v/>
      </c>
      <c r="L54" s="18">
        <f>J54*GiaDinh!$B$5</f>
        <v/>
      </c>
    </row>
    <row r="55">
      <c r="A55" t="inlineStr">
        <is>
          <t>3</t>
        </is>
      </c>
      <c r="B55" t="inlineStr">
        <is>
          <t>Thiết kế</t>
        </is>
      </c>
      <c r="J55" s="19">
        <f>SUMIF($C$5:$C$46,B55,$J$5:$J$46)</f>
        <v/>
      </c>
      <c r="K55" s="20">
        <f>J55/$J$47</f>
        <v/>
      </c>
      <c r="L55" s="18">
        <f>J55*GiaDinh!$B$5</f>
        <v/>
      </c>
    </row>
    <row r="56">
      <c r="A56" t="inlineStr">
        <is>
          <t>4</t>
        </is>
      </c>
      <c r="B56" t="inlineStr">
        <is>
          <t>Phát triển</t>
        </is>
      </c>
      <c r="J56" s="19">
        <f>SUMIF($C$5:$C$46,B56,$J$5:$J$46)</f>
        <v/>
      </c>
      <c r="K56" s="20">
        <f>J56/$J$47</f>
        <v/>
      </c>
      <c r="L56" s="18">
        <f>J56*GiaDinh!$B$5</f>
        <v/>
      </c>
    </row>
    <row r="57">
      <c r="A57" t="inlineStr">
        <is>
          <t>5</t>
        </is>
      </c>
      <c r="B57" t="inlineStr">
        <is>
          <t>Kiểm thử</t>
        </is>
      </c>
      <c r="J57" s="19">
        <f>SUMIF($C$5:$C$46,B57,$J$5:$J$46)</f>
        <v/>
      </c>
      <c r="K57" s="20">
        <f>J57/$J$47</f>
        <v/>
      </c>
      <c r="L57" s="18">
        <f>J57*GiaDinh!$B$5</f>
        <v/>
      </c>
    </row>
    <row r="58">
      <c r="A58" t="inlineStr">
        <is>
          <t>6</t>
        </is>
      </c>
      <c r="B58" t="inlineStr">
        <is>
          <t>Triển khai</t>
        </is>
      </c>
      <c r="J58" s="19">
        <f>SUMIF($C$5:$C$46,B58,$J$5:$J$46)</f>
        <v/>
      </c>
      <c r="K58" s="20">
        <f>J58/$J$47</f>
        <v/>
      </c>
      <c r="L58" s="18">
        <f>J58*GiaDinh!$B$5</f>
        <v/>
      </c>
    </row>
    <row r="59">
      <c r="A59" t="inlineStr">
        <is>
          <t>7</t>
        </is>
      </c>
      <c r="B59" t="inlineStr">
        <is>
          <t>Quản lý dự án</t>
        </is>
      </c>
      <c r="J59" s="19">
        <f>SUMIF($C$5:$C$46,B59,$J$5:$J$46)</f>
        <v/>
      </c>
      <c r="K59" s="20">
        <f>J59/$J$47</f>
        <v/>
      </c>
      <c r="L59" s="18">
        <f>J59*GiaDinh!$B$5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30" customWidth="1" min="4" max="4"/>
    <col width="7" customWidth="1" min="5" max="5"/>
    <col width="7" customWidth="1" min="6" max="6"/>
    <col width="7" customWidth="1" min="7" max="7"/>
    <col width="7" customWidth="1" min="8" max="8"/>
    <col width="8" customWidth="1" min="9" max="9"/>
    <col width="9" customWidth="1" min="10" max="10"/>
  </cols>
  <sheetData>
    <row r="1">
      <c r="A1" s="1" t="inlineStr">
        <is>
          <t>Lập lịch và đường găng (CPM)</t>
        </is>
      </c>
    </row>
    <row r="2">
      <c r="A2" s="2" t="inlineStr">
        <is>
          <t>ES, EF tính xuôi; LS, LF tính ngược; Slack = LS - ES. Quan hệ FS và SS có độ trễ (lag). Đơn vị: tuần.</t>
        </is>
      </c>
    </row>
    <row r="4" ht="32" customHeight="1">
      <c r="A4" s="3" t="inlineStr">
        <is>
          <t>Mã</t>
        </is>
      </c>
      <c r="B4" s="3" t="inlineStr">
        <is>
          <t>Hoạt động</t>
        </is>
      </c>
      <c r="C4" s="3" t="inlineStr">
        <is>
          <t>Thời lượng (tuần)</t>
        </is>
      </c>
      <c r="D4" s="3" t="inlineStr">
        <is>
          <t>Phụ thuộc (tiền nhiệm)</t>
        </is>
      </c>
      <c r="E4" s="3" t="inlineStr">
        <is>
          <t>ES</t>
        </is>
      </c>
      <c r="F4" s="3" t="inlineStr">
        <is>
          <t>EF</t>
        </is>
      </c>
      <c r="G4" s="3" t="inlineStr">
        <is>
          <t>LS</t>
        </is>
      </c>
      <c r="H4" s="3" t="inlineStr">
        <is>
          <t>LF</t>
        </is>
      </c>
      <c r="I4" s="3" t="inlineStr">
        <is>
          <t>Slack</t>
        </is>
      </c>
      <c r="J4" s="3" t="inlineStr">
        <is>
          <t>Găng?</t>
        </is>
      </c>
    </row>
    <row r="5">
      <c r="A5" s="21" t="inlineStr">
        <is>
          <t>A</t>
        </is>
      </c>
      <c r="B5" s="21" t="inlineStr">
        <is>
          <t>Khởi tạo, SOW</t>
        </is>
      </c>
      <c r="C5" s="22" t="n">
        <v>1</v>
      </c>
      <c r="D5" s="21" t="inlineStr">
        <is>
          <t>-</t>
        </is>
      </c>
      <c r="E5" s="23">
        <f>MAX(0)</f>
        <v/>
      </c>
      <c r="F5" s="23">
        <f>E5+C5</f>
        <v/>
      </c>
      <c r="G5" s="23">
        <f>H5-C5</f>
        <v/>
      </c>
      <c r="H5" s="23">
        <f>MIN($F$24,G6-0+C5,G7-0)</f>
        <v/>
      </c>
      <c r="I5" s="23">
        <f>G5-E5</f>
        <v/>
      </c>
      <c r="J5" s="23">
        <f>IF(I5=0,"GĂNG","")</f>
        <v/>
      </c>
    </row>
    <row r="6">
      <c r="A6" s="21" t="inlineStr">
        <is>
          <t>C</t>
        </is>
      </c>
      <c r="B6" s="21" t="inlineStr">
        <is>
          <t>Khảo sát nghiệp vụ</t>
        </is>
      </c>
      <c r="C6" s="22" t="n">
        <v>1</v>
      </c>
      <c r="D6" s="21" t="inlineStr">
        <is>
          <t>A(SS)</t>
        </is>
      </c>
      <c r="E6" s="23">
        <f>MAX(0,E5+0)</f>
        <v/>
      </c>
      <c r="F6" s="23">
        <f>E6+C6</f>
        <v/>
      </c>
      <c r="G6" s="23">
        <f>H6-C6</f>
        <v/>
      </c>
      <c r="H6" s="23">
        <f>MIN($F$24,G8-0)</f>
        <v/>
      </c>
      <c r="I6" s="23">
        <f>G6-E6</f>
        <v/>
      </c>
      <c r="J6" s="23">
        <f>IF(I6=0,"GĂNG","")</f>
        <v/>
      </c>
    </row>
    <row r="7">
      <c r="A7" s="21" t="inlineStr">
        <is>
          <t>B</t>
        </is>
      </c>
      <c r="B7" s="21" t="inlineStr">
        <is>
          <t>Dựng môi trường</t>
        </is>
      </c>
      <c r="C7" s="22" t="n">
        <v>1</v>
      </c>
      <c r="D7" s="21" t="inlineStr">
        <is>
          <t>A(FS)</t>
        </is>
      </c>
      <c r="E7" s="23">
        <f>MAX(0,F5+0)</f>
        <v/>
      </c>
      <c r="F7" s="23">
        <f>E7+C7</f>
        <v/>
      </c>
      <c r="G7" s="23">
        <f>H7-C7</f>
        <v/>
      </c>
      <c r="H7" s="23">
        <f>MIN($F$24,G12-0)</f>
        <v/>
      </c>
      <c r="I7" s="23">
        <f>G7-E7</f>
        <v/>
      </c>
      <c r="J7" s="23">
        <f>IF(I7=0,"GĂNG","")</f>
        <v/>
      </c>
    </row>
    <row r="8">
      <c r="A8" s="21" t="inlineStr">
        <is>
          <t>D</t>
        </is>
      </c>
      <c r="B8" s="21" t="inlineStr">
        <is>
          <t>Phân tích: SRS, User Story</t>
        </is>
      </c>
      <c r="C8" s="22" t="n">
        <v>2</v>
      </c>
      <c r="D8" s="21" t="inlineStr">
        <is>
          <t>C(FS)</t>
        </is>
      </c>
      <c r="E8" s="23">
        <f>MAX(0,F6+0)</f>
        <v/>
      </c>
      <c r="F8" s="23">
        <f>E8+C8</f>
        <v/>
      </c>
      <c r="G8" s="23">
        <f>H8-C8</f>
        <v/>
      </c>
      <c r="H8" s="23">
        <f>MIN($F$24,G9-1+C8,G10-2+C8,G11-2+C8)</f>
        <v/>
      </c>
      <c r="I8" s="23">
        <f>G8-E8</f>
        <v/>
      </c>
      <c r="J8" s="23">
        <f>IF(I8=0,"GĂNG","")</f>
        <v/>
      </c>
    </row>
    <row r="9">
      <c r="A9" s="21" t="inlineStr">
        <is>
          <t>E</t>
        </is>
      </c>
      <c r="B9" s="21" t="inlineStr">
        <is>
          <t>Thiết kế kiến trúc, CSDL</t>
        </is>
      </c>
      <c r="C9" s="22" t="n">
        <v>2</v>
      </c>
      <c r="D9" s="21" t="inlineStr">
        <is>
          <t>D(SS+1)</t>
        </is>
      </c>
      <c r="E9" s="23">
        <f>MAX(0,E8+1)</f>
        <v/>
      </c>
      <c r="F9" s="23">
        <f>E9+C9</f>
        <v/>
      </c>
      <c r="G9" s="23">
        <f>H9-C9</f>
        <v/>
      </c>
      <c r="H9" s="23">
        <f>MIN($F$24,G12-0)</f>
        <v/>
      </c>
      <c r="I9" s="23">
        <f>G9-E9</f>
        <v/>
      </c>
      <c r="J9" s="23">
        <f>IF(I9=0,"GĂNG","")</f>
        <v/>
      </c>
    </row>
    <row r="10">
      <c r="A10" s="21" t="inlineStr">
        <is>
          <t>F</t>
        </is>
      </c>
      <c r="B10" s="21" t="inlineStr">
        <is>
          <t>Thiết kế API, giao diện</t>
        </is>
      </c>
      <c r="C10" s="22" t="n">
        <v>2</v>
      </c>
      <c r="D10" s="21" t="inlineStr">
        <is>
          <t>D(SS+2)</t>
        </is>
      </c>
      <c r="E10" s="23">
        <f>MAX(0,E8+2)</f>
        <v/>
      </c>
      <c r="F10" s="23">
        <f>E10+C10</f>
        <v/>
      </c>
      <c r="G10" s="23">
        <f>H10-C10</f>
        <v/>
      </c>
      <c r="H10" s="23">
        <f>MIN($F$24,G14-0)</f>
        <v/>
      </c>
      <c r="I10" s="23">
        <f>G10-E10</f>
        <v/>
      </c>
      <c r="J10" s="23">
        <f>IF(I10=0,"GĂNG","")</f>
        <v/>
      </c>
    </row>
    <row r="11">
      <c r="A11" s="21" t="inlineStr">
        <is>
          <t>G</t>
        </is>
      </c>
      <c r="B11" s="21" t="inlineStr">
        <is>
          <t>Thiết kế mô hình AI</t>
        </is>
      </c>
      <c r="C11" s="22" t="n">
        <v>1</v>
      </c>
      <c r="D11" s="21" t="inlineStr">
        <is>
          <t>D(SS+2)</t>
        </is>
      </c>
      <c r="E11" s="23">
        <f>MAX(0,E8+2)</f>
        <v/>
      </c>
      <c r="F11" s="23">
        <f>E11+C11</f>
        <v/>
      </c>
      <c r="G11" s="23">
        <f>H11-C11</f>
        <v/>
      </c>
      <c r="H11" s="23">
        <f>MIN($F$24,G16-0)</f>
        <v/>
      </c>
      <c r="I11" s="23">
        <f>G11-E11</f>
        <v/>
      </c>
      <c r="J11" s="23">
        <f>IF(I11=0,"GĂNG","")</f>
        <v/>
      </c>
    </row>
    <row r="12">
      <c r="A12" s="21" t="inlineStr">
        <is>
          <t>H</t>
        </is>
      </c>
      <c r="B12" s="21" t="inlineStr">
        <is>
          <t>Backend nền: auth, sách, seed</t>
        </is>
      </c>
      <c r="C12" s="22" t="n">
        <v>4</v>
      </c>
      <c r="D12" s="21" t="inlineStr">
        <is>
          <t>E(FS), B(FS)</t>
        </is>
      </c>
      <c r="E12" s="23">
        <f>MAX(0,F9+0,F7+0)</f>
        <v/>
      </c>
      <c r="F12" s="23">
        <f>E12+C12</f>
        <v/>
      </c>
      <c r="G12" s="23">
        <f>H12-C12</f>
        <v/>
      </c>
      <c r="H12" s="23">
        <f>MIN($F$24,G13-1+C12,G14-1+C12,G18-2+C12,G20-0)</f>
        <v/>
      </c>
      <c r="I12" s="23">
        <f>G12-E12</f>
        <v/>
      </c>
      <c r="J12" s="23">
        <f>IF(I12=0,"GĂNG","")</f>
        <v/>
      </c>
    </row>
    <row r="13">
      <c r="A13" s="21" t="inlineStr">
        <is>
          <t>I</t>
        </is>
      </c>
      <c r="B13" s="21" t="inlineStr">
        <is>
          <t>Backend mượn trả, phạt, tìm kiếm</t>
        </is>
      </c>
      <c r="C13" s="22" t="n">
        <v>4</v>
      </c>
      <c r="D13" s="21" t="inlineStr">
        <is>
          <t>H(SS+1)</t>
        </is>
      </c>
      <c r="E13" s="23">
        <f>MAX(0,E12+1)</f>
        <v/>
      </c>
      <c r="F13" s="23">
        <f>E13+C13</f>
        <v/>
      </c>
      <c r="G13" s="23">
        <f>H13-C13</f>
        <v/>
      </c>
      <c r="H13" s="23">
        <f>MIN($F$24,G16-2+C13,G17-0)</f>
        <v/>
      </c>
      <c r="I13" s="23">
        <f>G13-E13</f>
        <v/>
      </c>
      <c r="J13" s="23">
        <f>IF(I13=0,"GĂNG","")</f>
        <v/>
      </c>
    </row>
    <row r="14">
      <c r="A14" s="21" t="inlineStr">
        <is>
          <t>J</t>
        </is>
      </c>
      <c r="B14" s="21" t="inlineStr">
        <is>
          <t>Frontend khung, tra cứu, kho</t>
        </is>
      </c>
      <c r="C14" s="22" t="n">
        <v>4</v>
      </c>
      <c r="D14" s="21" t="inlineStr">
        <is>
          <t>F(FS), H(SS+1)</t>
        </is>
      </c>
      <c r="E14" s="23">
        <f>MAX(0,F10+0,E12+1)</f>
        <v/>
      </c>
      <c r="F14" s="23">
        <f>E14+C14</f>
        <v/>
      </c>
      <c r="G14" s="23">
        <f>H14-C14</f>
        <v/>
      </c>
      <c r="H14" s="23">
        <f>MIN($F$24,G15-0)</f>
        <v/>
      </c>
      <c r="I14" s="23">
        <f>G14-E14</f>
        <v/>
      </c>
      <c r="J14" s="23">
        <f>IF(I14=0,"GĂNG","")</f>
        <v/>
      </c>
    </row>
    <row r="15">
      <c r="A15" s="21" t="inlineStr">
        <is>
          <t>K</t>
        </is>
      </c>
      <c r="B15" s="21" t="inlineStr">
        <is>
          <t>Frontend quầy, báo cáo</t>
        </is>
      </c>
      <c r="C15" s="22" t="n">
        <v>3</v>
      </c>
      <c r="D15" s="21" t="inlineStr">
        <is>
          <t>J(FS)</t>
        </is>
      </c>
      <c r="E15" s="23">
        <f>MAX(0,F14+0)</f>
        <v/>
      </c>
      <c r="F15" s="23">
        <f>E15+C15</f>
        <v/>
      </c>
      <c r="G15" s="23">
        <f>H15-C15</f>
        <v/>
      </c>
      <c r="H15" s="23">
        <f>MIN($F$24,G17-0)</f>
        <v/>
      </c>
      <c r="I15" s="23">
        <f>G15-E15</f>
        <v/>
      </c>
      <c r="J15" s="23">
        <f>IF(I15=0,"GĂNG","")</f>
        <v/>
      </c>
    </row>
    <row r="16">
      <c r="A16" s="21" t="inlineStr">
        <is>
          <t>L</t>
        </is>
      </c>
      <c r="B16" s="21" t="inlineStr">
        <is>
          <t>AI gợi ý và dự báo</t>
        </is>
      </c>
      <c r="C16" s="22" t="n">
        <v>5</v>
      </c>
      <c r="D16" s="21" t="inlineStr">
        <is>
          <t>G(FS), I(SS+2)</t>
        </is>
      </c>
      <c r="E16" s="23">
        <f>MAX(0,F11+0,E13+2)</f>
        <v/>
      </c>
      <c r="F16" s="23">
        <f>E16+C16</f>
        <v/>
      </c>
      <c r="G16" s="23">
        <f>H16-C16</f>
        <v/>
      </c>
      <c r="H16" s="23">
        <f>MIN($F$24,G17-0)</f>
        <v/>
      </c>
      <c r="I16" s="23">
        <f>G16-E16</f>
        <v/>
      </c>
      <c r="J16" s="23">
        <f>IF(I16=0,"GĂNG","")</f>
        <v/>
      </c>
    </row>
    <row r="17">
      <c r="A17" s="21" t="inlineStr">
        <is>
          <t>M</t>
        </is>
      </c>
      <c r="B17" s="21" t="inlineStr">
        <is>
          <t>Tích hợp Backend, AI, Frontend</t>
        </is>
      </c>
      <c r="C17" s="22" t="n">
        <v>2</v>
      </c>
      <c r="D17" s="21" t="inlineStr">
        <is>
          <t>I(FS), K(FS), L(FS)</t>
        </is>
      </c>
      <c r="E17" s="23">
        <f>MAX(0,F13+0,F15+0,F16+0)</f>
        <v/>
      </c>
      <c r="F17" s="23">
        <f>E17+C17</f>
        <v/>
      </c>
      <c r="G17" s="23">
        <f>H17-C17</f>
        <v/>
      </c>
      <c r="H17" s="23">
        <f>MIN($F$24,G19-1+C17,G22-0+C17)</f>
        <v/>
      </c>
      <c r="I17" s="23">
        <f>G17-E17</f>
        <v/>
      </c>
      <c r="J17" s="23">
        <f>IF(I17=0,"GĂNG","")</f>
        <v/>
      </c>
    </row>
    <row r="18">
      <c r="A18" s="21" t="inlineStr">
        <is>
          <t>N</t>
        </is>
      </c>
      <c r="B18" s="21" t="inlineStr">
        <is>
          <t>Kiểm thử đơn vị, tích hợp</t>
        </is>
      </c>
      <c r="C18" s="22" t="n">
        <v>5</v>
      </c>
      <c r="D18" s="21" t="inlineStr">
        <is>
          <t>H(SS+2)</t>
        </is>
      </c>
      <c r="E18" s="23">
        <f>MAX(0,E12+2)</f>
        <v/>
      </c>
      <c r="F18" s="23">
        <f>E18+C18</f>
        <v/>
      </c>
      <c r="G18" s="23">
        <f>H18-C18</f>
        <v/>
      </c>
      <c r="H18" s="23">
        <f>MIN($F$24,G19-0)</f>
        <v/>
      </c>
      <c r="I18" s="23">
        <f>G18-E18</f>
        <v/>
      </c>
      <c r="J18" s="23">
        <f>IF(I18=0,"GĂNG","")</f>
        <v/>
      </c>
    </row>
    <row r="19">
      <c r="A19" s="21" t="inlineStr">
        <is>
          <t>O</t>
        </is>
      </c>
      <c r="B19" s="21" t="inlineStr">
        <is>
          <t>Kiểm thử hệ thống, UAT</t>
        </is>
      </c>
      <c r="C19" s="22" t="n">
        <v>2</v>
      </c>
      <c r="D19" s="21" t="inlineStr">
        <is>
          <t>M(SS+1), N(FS)</t>
        </is>
      </c>
      <c r="E19" s="23">
        <f>MAX(0,E17+1,F18+0)</f>
        <v/>
      </c>
      <c r="F19" s="23">
        <f>E19+C19</f>
        <v/>
      </c>
      <c r="G19" s="23">
        <f>H19-C19</f>
        <v/>
      </c>
      <c r="H19" s="23">
        <f>MIN($F$24,G21-1+C19)</f>
        <v/>
      </c>
      <c r="I19" s="23">
        <f>G19-E19</f>
        <v/>
      </c>
      <c r="J19" s="23">
        <f>IF(I19=0,"GĂNG","")</f>
        <v/>
      </c>
    </row>
    <row r="20">
      <c r="A20" s="21" t="inlineStr">
        <is>
          <t>Q</t>
        </is>
      </c>
      <c r="B20" s="21" t="inlineStr">
        <is>
          <t>Docker, CI/CD</t>
        </is>
      </c>
      <c r="C20" s="22" t="n">
        <v>2</v>
      </c>
      <c r="D20" s="21" t="inlineStr">
        <is>
          <t>H(FS)</t>
        </is>
      </c>
      <c r="E20" s="23">
        <f>MAX(0,F12+0)</f>
        <v/>
      </c>
      <c r="F20" s="23">
        <f>E20+C20</f>
        <v/>
      </c>
      <c r="G20" s="23">
        <f>H20-C20</f>
        <v/>
      </c>
      <c r="H20" s="23">
        <f>MIN($F$24,G21-0)</f>
        <v/>
      </c>
      <c r="I20" s="23">
        <f>G20-E20</f>
        <v/>
      </c>
      <c r="J20" s="23">
        <f>IF(I20=0,"GĂNG","")</f>
        <v/>
      </c>
    </row>
    <row r="21">
      <c r="A21" s="21" t="inlineStr">
        <is>
          <t>P</t>
        </is>
      </c>
      <c r="B21" s="21" t="inlineStr">
        <is>
          <t>Triển khai cloud, vận hành thử</t>
        </is>
      </c>
      <c r="C21" s="22" t="n">
        <v>1</v>
      </c>
      <c r="D21" s="21" t="inlineStr">
        <is>
          <t>O(SS+1), Q(FS)</t>
        </is>
      </c>
      <c r="E21" s="23">
        <f>MAX(0,E19+1,F20+0)</f>
        <v/>
      </c>
      <c r="F21" s="23">
        <f>E21+C21</f>
        <v/>
      </c>
      <c r="G21" s="23">
        <f>H21-C21</f>
        <v/>
      </c>
      <c r="H21" s="23">
        <f>MIN($F$24,G23-0)</f>
        <v/>
      </c>
      <c r="I21" s="23">
        <f>G21-E21</f>
        <v/>
      </c>
      <c r="J21" s="23">
        <f>IF(I21=0,"GĂNG","")</f>
        <v/>
      </c>
    </row>
    <row r="22">
      <c r="A22" s="21" t="inlineStr">
        <is>
          <t>R</t>
        </is>
      </c>
      <c r="B22" s="21" t="inlineStr">
        <is>
          <t>Tài liệu, đào tạo thủ thư</t>
        </is>
      </c>
      <c r="C22" s="22" t="n">
        <v>2</v>
      </c>
      <c r="D22" s="21" t="inlineStr">
        <is>
          <t>M(SS)</t>
        </is>
      </c>
      <c r="E22" s="23">
        <f>MAX(0,E17+0)</f>
        <v/>
      </c>
      <c r="F22" s="23">
        <f>E22+C22</f>
        <v/>
      </c>
      <c r="G22" s="23">
        <f>H22-C22</f>
        <v/>
      </c>
      <c r="H22" s="23">
        <f>MIN($F$24,G23-0)</f>
        <v/>
      </c>
      <c r="I22" s="23">
        <f>G22-E22</f>
        <v/>
      </c>
      <c r="J22" s="23">
        <f>IF(I22=0,"GĂNG","")</f>
        <v/>
      </c>
    </row>
    <row r="23">
      <c r="A23" s="21" t="inlineStr">
        <is>
          <t>S</t>
        </is>
      </c>
      <c r="B23" s="21" t="inlineStr">
        <is>
          <t>Nghiệm thu, bàn giao</t>
        </is>
      </c>
      <c r="C23" s="22" t="n">
        <v>1</v>
      </c>
      <c r="D23" s="21" t="inlineStr">
        <is>
          <t>P(FS), R(FS)</t>
        </is>
      </c>
      <c r="E23" s="23">
        <f>MAX(0,F21+0,F22+0)</f>
        <v/>
      </c>
      <c r="F23" s="23">
        <f>E23+C23</f>
        <v/>
      </c>
      <c r="G23" s="23">
        <f>H23-C23</f>
        <v/>
      </c>
      <c r="H23" s="23">
        <f>MIN($F$24)</f>
        <v/>
      </c>
      <c r="I23" s="23">
        <f>G23-E23</f>
        <v/>
      </c>
      <c r="J23" s="23">
        <f>IF(I23=0,"GĂNG","")</f>
        <v/>
      </c>
    </row>
    <row r="24">
      <c r="B24" s="4" t="inlineStr">
        <is>
          <t>Thời gian dự án (tuần)</t>
        </is>
      </c>
      <c r="F24" s="4">
        <f>MAX(F5:F23)</f>
        <v/>
      </c>
    </row>
    <row r="27">
      <c r="A27" s="4" t="inlineStr">
        <is>
          <t>Các đường găng (chuỗi hoạt động có Slack 0 nối nhau bằng ràng buộc chặt)</t>
        </is>
      </c>
    </row>
    <row r="28">
      <c r="A28" t="inlineStr">
        <is>
          <t>Đường 1:</t>
        </is>
      </c>
      <c r="B28" t="inlineStr">
        <is>
          <t>A → C → D → E → H → I → L → M → O → P → S</t>
        </is>
      </c>
    </row>
    <row r="29">
      <c r="A29" t="inlineStr">
        <is>
          <t>Đường 2:</t>
        </is>
      </c>
      <c r="B29" t="inlineStr">
        <is>
          <t>A → C → D → E → H → J → K → M → O → P → S</t>
        </is>
      </c>
    </row>
    <row r="30">
      <c r="A30" t="inlineStr">
        <is>
          <t>Đường 3:</t>
        </is>
      </c>
      <c r="B30" t="inlineStr">
        <is>
          <t>A → C → D → F → J → K → M → O → P → S</t>
        </is>
      </c>
    </row>
  </sheetData>
  <conditionalFormatting sqref="A5:J23">
    <cfRule type="expression" priority="1" dxfId="0">
      <formula>$I5=0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6" customWidth="1" min="3" max="3"/>
    <col width="12" customWidth="1" min="4" max="4"/>
    <col width="12" customWidth="1" min="5" max="5"/>
    <col width="12" customWidth="1" min="6" max="6"/>
    <col width="9" customWidth="1" min="7" max="7"/>
    <col width="12" customWidth="1" min="8" max="8"/>
    <col width="22" customWidth="1" min="9" max="9"/>
  </cols>
  <sheetData>
    <row r="1">
      <c r="A1" s="1" t="inlineStr">
        <is>
          <t>Ước lượng 3 điểm cho hoạt động và xác suất đúng hạn</t>
        </is>
      </c>
    </row>
    <row r="2">
      <c r="A2" s="2" t="inlineStr">
        <is>
          <t>E = (a + 4m + b) / 6; Var = ((b - a) / 6)^2. Thời gian lịch kỳ vọng = thời gian CPM + tổng (E - m) trên đường găng chính.</t>
        </is>
      </c>
    </row>
    <row r="4" ht="32" customHeight="1">
      <c r="A4" s="3" t="inlineStr">
        <is>
          <t>Mã</t>
        </is>
      </c>
      <c r="B4" s="3" t="inlineStr">
        <is>
          <t>Hoạt động</t>
        </is>
      </c>
      <c r="C4" s="3" t="inlineStr">
        <is>
          <t>Mức</t>
        </is>
      </c>
      <c r="D4" s="3" t="inlineStr">
        <is>
          <t>a (lạc quan)</t>
        </is>
      </c>
      <c r="E4" s="3" t="inlineStr">
        <is>
          <t>m (khả dĩ)</t>
        </is>
      </c>
      <c r="F4" s="3" t="inlineStr">
        <is>
          <t>b (bi quan)</t>
        </is>
      </c>
      <c r="G4" s="3" t="inlineStr">
        <is>
          <t>E</t>
        </is>
      </c>
      <c r="H4" s="3" t="inlineStr">
        <is>
          <t>Phương sai</t>
        </is>
      </c>
      <c r="I4" s="3" t="inlineStr">
        <is>
          <t>Trên đường găng chính?</t>
        </is>
      </c>
    </row>
    <row r="5">
      <c r="A5" t="inlineStr">
        <is>
          <t>A</t>
        </is>
      </c>
      <c r="B5" t="inlineStr">
        <is>
          <t>Khởi tạo, SOW</t>
        </is>
      </c>
      <c r="C5" s="5" t="inlineStr">
        <is>
          <t>L</t>
        </is>
      </c>
      <c r="D5" s="13">
        <f>ROUND(E5*VLOOKUP(C5,GiaDinh!$E$14:$G$16,2,FALSE),2)</f>
        <v/>
      </c>
      <c r="E5">
        <f>CPM!C5</f>
        <v/>
      </c>
      <c r="F5" s="13">
        <f>ROUND(E5*VLOOKUP(C5,GiaDinh!$E$14:$G$16,3,FALSE),2)</f>
        <v/>
      </c>
      <c r="G5" s="13">
        <f>(D5+4*E5+F5)/6</f>
        <v/>
      </c>
      <c r="H5" s="13">
        <f>((F5-D5)/6)^2</f>
        <v/>
      </c>
      <c r="I5" t="inlineStr">
        <is>
          <t>x</t>
        </is>
      </c>
    </row>
    <row r="6">
      <c r="A6" t="inlineStr">
        <is>
          <t>C</t>
        </is>
      </c>
      <c r="B6" t="inlineStr">
        <is>
          <t>Khảo sát nghiệp vụ</t>
        </is>
      </c>
      <c r="C6" s="5" t="inlineStr">
        <is>
          <t>L</t>
        </is>
      </c>
      <c r="D6" s="13">
        <f>ROUND(E6*VLOOKUP(C6,GiaDinh!$E$14:$G$16,2,FALSE),2)</f>
        <v/>
      </c>
      <c r="E6">
        <f>CPM!C6</f>
        <v/>
      </c>
      <c r="F6" s="13">
        <f>ROUND(E6*VLOOKUP(C6,GiaDinh!$E$14:$G$16,3,FALSE),2)</f>
        <v/>
      </c>
      <c r="G6" s="13">
        <f>(D6+4*E6+F6)/6</f>
        <v/>
      </c>
      <c r="H6" s="13">
        <f>((F6-D6)/6)^2</f>
        <v/>
      </c>
      <c r="I6" t="inlineStr">
        <is>
          <t>x</t>
        </is>
      </c>
    </row>
    <row r="7">
      <c r="A7" t="inlineStr">
        <is>
          <t>B</t>
        </is>
      </c>
      <c r="B7" t="inlineStr">
        <is>
          <t>Dựng môi trường</t>
        </is>
      </c>
      <c r="C7" s="5" t="inlineStr">
        <is>
          <t>L</t>
        </is>
      </c>
      <c r="D7" s="13">
        <f>ROUND(E7*VLOOKUP(C7,GiaDinh!$E$14:$G$16,2,FALSE),2)</f>
        <v/>
      </c>
      <c r="E7">
        <f>CPM!C7</f>
        <v/>
      </c>
      <c r="F7" s="13">
        <f>ROUND(E7*VLOOKUP(C7,GiaDinh!$E$14:$G$16,3,FALSE),2)</f>
        <v/>
      </c>
      <c r="G7" s="13">
        <f>(D7+4*E7+F7)/6</f>
        <v/>
      </c>
      <c r="H7" s="13">
        <f>((F7-D7)/6)^2</f>
        <v/>
      </c>
      <c r="I7" t="inlineStr"/>
    </row>
    <row r="8">
      <c r="A8" t="inlineStr">
        <is>
          <t>D</t>
        </is>
      </c>
      <c r="B8" t="inlineStr">
        <is>
          <t>Phân tích: SRS, User Story</t>
        </is>
      </c>
      <c r="C8" s="5" t="inlineStr">
        <is>
          <t>M</t>
        </is>
      </c>
      <c r="D8" s="13">
        <f>ROUND(E8*VLOOKUP(C8,GiaDinh!$E$14:$G$16,2,FALSE),2)</f>
        <v/>
      </c>
      <c r="E8">
        <f>CPM!C8</f>
        <v/>
      </c>
      <c r="F8" s="13">
        <f>ROUND(E8*VLOOKUP(C8,GiaDinh!$E$14:$G$16,3,FALSE),2)</f>
        <v/>
      </c>
      <c r="G8" s="13">
        <f>(D8+4*E8+F8)/6</f>
        <v/>
      </c>
      <c r="H8" s="13">
        <f>((F8-D8)/6)^2</f>
        <v/>
      </c>
      <c r="I8" t="inlineStr">
        <is>
          <t>x</t>
        </is>
      </c>
    </row>
    <row r="9">
      <c r="A9" t="inlineStr">
        <is>
          <t>E</t>
        </is>
      </c>
      <c r="B9" t="inlineStr">
        <is>
          <t>Thiết kế kiến trúc, CSDL</t>
        </is>
      </c>
      <c r="C9" s="5" t="inlineStr">
        <is>
          <t>L</t>
        </is>
      </c>
      <c r="D9" s="13">
        <f>ROUND(E9*VLOOKUP(C9,GiaDinh!$E$14:$G$16,2,FALSE),2)</f>
        <v/>
      </c>
      <c r="E9">
        <f>CPM!C9</f>
        <v/>
      </c>
      <c r="F9" s="13">
        <f>ROUND(E9*VLOOKUP(C9,GiaDinh!$E$14:$G$16,3,FALSE),2)</f>
        <v/>
      </c>
      <c r="G9" s="13">
        <f>(D9+4*E9+F9)/6</f>
        <v/>
      </c>
      <c r="H9" s="13">
        <f>((F9-D9)/6)^2</f>
        <v/>
      </c>
      <c r="I9" t="inlineStr">
        <is>
          <t>x</t>
        </is>
      </c>
    </row>
    <row r="10">
      <c r="A10" t="inlineStr">
        <is>
          <t>F</t>
        </is>
      </c>
      <c r="B10" t="inlineStr">
        <is>
          <t>Thiết kế API, giao diện</t>
        </is>
      </c>
      <c r="C10" s="5" t="inlineStr">
        <is>
          <t>L</t>
        </is>
      </c>
      <c r="D10" s="13">
        <f>ROUND(E10*VLOOKUP(C10,GiaDinh!$E$14:$G$16,2,FALSE),2)</f>
        <v/>
      </c>
      <c r="E10">
        <f>CPM!C10</f>
        <v/>
      </c>
      <c r="F10" s="13">
        <f>ROUND(E10*VLOOKUP(C10,GiaDinh!$E$14:$G$16,3,FALSE),2)</f>
        <v/>
      </c>
      <c r="G10" s="13">
        <f>(D10+4*E10+F10)/6</f>
        <v/>
      </c>
      <c r="H10" s="13">
        <f>((F10-D10)/6)^2</f>
        <v/>
      </c>
      <c r="I10" t="inlineStr"/>
    </row>
    <row r="11">
      <c r="A11" t="inlineStr">
        <is>
          <t>G</t>
        </is>
      </c>
      <c r="B11" t="inlineStr">
        <is>
          <t>Thiết kế mô hình AI</t>
        </is>
      </c>
      <c r="C11" s="5" t="inlineStr">
        <is>
          <t>L</t>
        </is>
      </c>
      <c r="D11" s="13">
        <f>ROUND(E11*VLOOKUP(C11,GiaDinh!$E$14:$G$16,2,FALSE),2)</f>
        <v/>
      </c>
      <c r="E11">
        <f>CPM!C11</f>
        <v/>
      </c>
      <c r="F11" s="13">
        <f>ROUND(E11*VLOOKUP(C11,GiaDinh!$E$14:$G$16,3,FALSE),2)</f>
        <v/>
      </c>
      <c r="G11" s="13">
        <f>(D11+4*E11+F11)/6</f>
        <v/>
      </c>
      <c r="H11" s="13">
        <f>((F11-D11)/6)^2</f>
        <v/>
      </c>
      <c r="I11" t="inlineStr"/>
    </row>
    <row r="12">
      <c r="A12" t="inlineStr">
        <is>
          <t>H</t>
        </is>
      </c>
      <c r="B12" t="inlineStr">
        <is>
          <t>Backend nền: auth, sách, seed</t>
        </is>
      </c>
      <c r="C12" s="5" t="inlineStr">
        <is>
          <t>H</t>
        </is>
      </c>
      <c r="D12" s="13">
        <f>ROUND(E12*VLOOKUP(C12,GiaDinh!$E$14:$G$16,2,FALSE),2)</f>
        <v/>
      </c>
      <c r="E12">
        <f>CPM!C12</f>
        <v/>
      </c>
      <c r="F12" s="13">
        <f>ROUND(E12*VLOOKUP(C12,GiaDinh!$E$14:$G$16,3,FALSE),2)</f>
        <v/>
      </c>
      <c r="G12" s="13">
        <f>(D12+4*E12+F12)/6</f>
        <v/>
      </c>
      <c r="H12" s="13">
        <f>((F12-D12)/6)^2</f>
        <v/>
      </c>
      <c r="I12" t="inlineStr">
        <is>
          <t>x</t>
        </is>
      </c>
    </row>
    <row r="13">
      <c r="A13" t="inlineStr">
        <is>
          <t>I</t>
        </is>
      </c>
      <c r="B13" t="inlineStr">
        <is>
          <t>Backend mượn trả, phạt, tìm kiếm</t>
        </is>
      </c>
      <c r="C13" s="5" t="inlineStr">
        <is>
          <t>H</t>
        </is>
      </c>
      <c r="D13" s="13">
        <f>ROUND(E13*VLOOKUP(C13,GiaDinh!$E$14:$G$16,2,FALSE),2)</f>
        <v/>
      </c>
      <c r="E13">
        <f>CPM!C13</f>
        <v/>
      </c>
      <c r="F13" s="13">
        <f>ROUND(E13*VLOOKUP(C13,GiaDinh!$E$14:$G$16,3,FALSE),2)</f>
        <v/>
      </c>
      <c r="G13" s="13">
        <f>(D13+4*E13+F13)/6</f>
        <v/>
      </c>
      <c r="H13" s="13">
        <f>((F13-D13)/6)^2</f>
        <v/>
      </c>
      <c r="I13" t="inlineStr">
        <is>
          <t>x</t>
        </is>
      </c>
    </row>
    <row r="14">
      <c r="A14" t="inlineStr">
        <is>
          <t>J</t>
        </is>
      </c>
      <c r="B14" t="inlineStr">
        <is>
          <t>Frontend khung, tra cứu, kho</t>
        </is>
      </c>
      <c r="C14" s="5" t="inlineStr">
        <is>
          <t>M</t>
        </is>
      </c>
      <c r="D14" s="13">
        <f>ROUND(E14*VLOOKUP(C14,GiaDinh!$E$14:$G$16,2,FALSE),2)</f>
        <v/>
      </c>
      <c r="E14">
        <f>CPM!C14</f>
        <v/>
      </c>
      <c r="F14" s="13">
        <f>ROUND(E14*VLOOKUP(C14,GiaDinh!$E$14:$G$16,3,FALSE),2)</f>
        <v/>
      </c>
      <c r="G14" s="13">
        <f>(D14+4*E14+F14)/6</f>
        <v/>
      </c>
      <c r="H14" s="13">
        <f>((F14-D14)/6)^2</f>
        <v/>
      </c>
      <c r="I14" t="inlineStr"/>
    </row>
    <row r="15">
      <c r="A15" t="inlineStr">
        <is>
          <t>K</t>
        </is>
      </c>
      <c r="B15" t="inlineStr">
        <is>
          <t>Frontend quầy, báo cáo</t>
        </is>
      </c>
      <c r="C15" s="5" t="inlineStr">
        <is>
          <t>M</t>
        </is>
      </c>
      <c r="D15" s="13">
        <f>ROUND(E15*VLOOKUP(C15,GiaDinh!$E$14:$G$16,2,FALSE),2)</f>
        <v/>
      </c>
      <c r="E15">
        <f>CPM!C15</f>
        <v/>
      </c>
      <c r="F15" s="13">
        <f>ROUND(E15*VLOOKUP(C15,GiaDinh!$E$14:$G$16,3,FALSE),2)</f>
        <v/>
      </c>
      <c r="G15" s="13">
        <f>(D15+4*E15+F15)/6</f>
        <v/>
      </c>
      <c r="H15" s="13">
        <f>((F15-D15)/6)^2</f>
        <v/>
      </c>
      <c r="I15" t="inlineStr"/>
    </row>
    <row r="16">
      <c r="A16" t="inlineStr">
        <is>
          <t>L</t>
        </is>
      </c>
      <c r="B16" t="inlineStr">
        <is>
          <t>AI gợi ý và dự báo</t>
        </is>
      </c>
      <c r="C16" s="5" t="inlineStr">
        <is>
          <t>H</t>
        </is>
      </c>
      <c r="D16" s="13">
        <f>ROUND(E16*VLOOKUP(C16,GiaDinh!$E$14:$G$16,2,FALSE),2)</f>
        <v/>
      </c>
      <c r="E16">
        <f>CPM!C16</f>
        <v/>
      </c>
      <c r="F16" s="13">
        <f>ROUND(E16*VLOOKUP(C16,GiaDinh!$E$14:$G$16,3,FALSE),2)</f>
        <v/>
      </c>
      <c r="G16" s="13">
        <f>(D16+4*E16+F16)/6</f>
        <v/>
      </c>
      <c r="H16" s="13">
        <f>((F16-D16)/6)^2</f>
        <v/>
      </c>
      <c r="I16" t="inlineStr">
        <is>
          <t>x</t>
        </is>
      </c>
    </row>
    <row r="17">
      <c r="A17" t="inlineStr">
        <is>
          <t>M</t>
        </is>
      </c>
      <c r="B17" t="inlineStr">
        <is>
          <t>Tích hợp Backend, AI, Frontend</t>
        </is>
      </c>
      <c r="C17" s="5" t="inlineStr">
        <is>
          <t>H</t>
        </is>
      </c>
      <c r="D17" s="13">
        <f>ROUND(E17*VLOOKUP(C17,GiaDinh!$E$14:$G$16,2,FALSE),2)</f>
        <v/>
      </c>
      <c r="E17">
        <f>CPM!C17</f>
        <v/>
      </c>
      <c r="F17" s="13">
        <f>ROUND(E17*VLOOKUP(C17,GiaDinh!$E$14:$G$16,3,FALSE),2)</f>
        <v/>
      </c>
      <c r="G17" s="13">
        <f>(D17+4*E17+F17)/6</f>
        <v/>
      </c>
      <c r="H17" s="13">
        <f>((F17-D17)/6)^2</f>
        <v/>
      </c>
      <c r="I17" t="inlineStr">
        <is>
          <t>x</t>
        </is>
      </c>
    </row>
    <row r="18">
      <c r="A18" t="inlineStr">
        <is>
          <t>N</t>
        </is>
      </c>
      <c r="B18" t="inlineStr">
        <is>
          <t>Kiểm thử đơn vị, tích hợp</t>
        </is>
      </c>
      <c r="C18" s="5" t="inlineStr">
        <is>
          <t>M</t>
        </is>
      </c>
      <c r="D18" s="13">
        <f>ROUND(E18*VLOOKUP(C18,GiaDinh!$E$14:$G$16,2,FALSE),2)</f>
        <v/>
      </c>
      <c r="E18">
        <f>CPM!C18</f>
        <v/>
      </c>
      <c r="F18" s="13">
        <f>ROUND(E18*VLOOKUP(C18,GiaDinh!$E$14:$G$16,3,FALSE),2)</f>
        <v/>
      </c>
      <c r="G18" s="13">
        <f>(D18+4*E18+F18)/6</f>
        <v/>
      </c>
      <c r="H18" s="13">
        <f>((F18-D18)/6)^2</f>
        <v/>
      </c>
      <c r="I18" t="inlineStr"/>
    </row>
    <row r="19">
      <c r="A19" t="inlineStr">
        <is>
          <t>O</t>
        </is>
      </c>
      <c r="B19" t="inlineStr">
        <is>
          <t>Kiểm thử hệ thống, UAT</t>
        </is>
      </c>
      <c r="C19" s="5" t="inlineStr">
        <is>
          <t>M</t>
        </is>
      </c>
      <c r="D19" s="13">
        <f>ROUND(E19*VLOOKUP(C19,GiaDinh!$E$14:$G$16,2,FALSE),2)</f>
        <v/>
      </c>
      <c r="E19">
        <f>CPM!C19</f>
        <v/>
      </c>
      <c r="F19" s="13">
        <f>ROUND(E19*VLOOKUP(C19,GiaDinh!$E$14:$G$16,3,FALSE),2)</f>
        <v/>
      </c>
      <c r="G19" s="13">
        <f>(D19+4*E19+F19)/6</f>
        <v/>
      </c>
      <c r="H19" s="13">
        <f>((F19-D19)/6)^2</f>
        <v/>
      </c>
      <c r="I19" t="inlineStr">
        <is>
          <t>x</t>
        </is>
      </c>
    </row>
    <row r="20">
      <c r="A20" t="inlineStr">
        <is>
          <t>Q</t>
        </is>
      </c>
      <c r="B20" t="inlineStr">
        <is>
          <t>Docker, CI/CD</t>
        </is>
      </c>
      <c r="C20" s="5" t="inlineStr">
        <is>
          <t>L</t>
        </is>
      </c>
      <c r="D20" s="13">
        <f>ROUND(E20*VLOOKUP(C20,GiaDinh!$E$14:$G$16,2,FALSE),2)</f>
        <v/>
      </c>
      <c r="E20">
        <f>CPM!C20</f>
        <v/>
      </c>
      <c r="F20" s="13">
        <f>ROUND(E20*VLOOKUP(C20,GiaDinh!$E$14:$G$16,3,FALSE),2)</f>
        <v/>
      </c>
      <c r="G20" s="13">
        <f>(D20+4*E20+F20)/6</f>
        <v/>
      </c>
      <c r="H20" s="13">
        <f>((F20-D20)/6)^2</f>
        <v/>
      </c>
      <c r="I20" t="inlineStr"/>
    </row>
    <row r="21">
      <c r="A21" t="inlineStr">
        <is>
          <t>P</t>
        </is>
      </c>
      <c r="B21" t="inlineStr">
        <is>
          <t>Triển khai cloud, vận hành thử</t>
        </is>
      </c>
      <c r="C21" s="5" t="inlineStr">
        <is>
          <t>M</t>
        </is>
      </c>
      <c r="D21" s="13">
        <f>ROUND(E21*VLOOKUP(C21,GiaDinh!$E$14:$G$16,2,FALSE),2)</f>
        <v/>
      </c>
      <c r="E21">
        <f>CPM!C21</f>
        <v/>
      </c>
      <c r="F21" s="13">
        <f>ROUND(E21*VLOOKUP(C21,GiaDinh!$E$14:$G$16,3,FALSE),2)</f>
        <v/>
      </c>
      <c r="G21" s="13">
        <f>(D21+4*E21+F21)/6</f>
        <v/>
      </c>
      <c r="H21" s="13">
        <f>((F21-D21)/6)^2</f>
        <v/>
      </c>
      <c r="I21" t="inlineStr">
        <is>
          <t>x</t>
        </is>
      </c>
    </row>
    <row r="22">
      <c r="A22" t="inlineStr">
        <is>
          <t>R</t>
        </is>
      </c>
      <c r="B22" t="inlineStr">
        <is>
          <t>Tài liệu, đào tạo thủ thư</t>
        </is>
      </c>
      <c r="C22" s="5" t="inlineStr">
        <is>
          <t>L</t>
        </is>
      </c>
      <c r="D22" s="13">
        <f>ROUND(E22*VLOOKUP(C22,GiaDinh!$E$14:$G$16,2,FALSE),2)</f>
        <v/>
      </c>
      <c r="E22">
        <f>CPM!C22</f>
        <v/>
      </c>
      <c r="F22" s="13">
        <f>ROUND(E22*VLOOKUP(C22,GiaDinh!$E$14:$G$16,3,FALSE),2)</f>
        <v/>
      </c>
      <c r="G22" s="13">
        <f>(D22+4*E22+F22)/6</f>
        <v/>
      </c>
      <c r="H22" s="13">
        <f>((F22-D22)/6)^2</f>
        <v/>
      </c>
      <c r="I22" t="inlineStr"/>
    </row>
    <row r="23">
      <c r="A23" t="inlineStr">
        <is>
          <t>S</t>
        </is>
      </c>
      <c r="B23" t="inlineStr">
        <is>
          <t>Nghiệm thu, bàn giao</t>
        </is>
      </c>
      <c r="C23" s="5" t="inlineStr">
        <is>
          <t>L</t>
        </is>
      </c>
      <c r="D23" s="13">
        <f>ROUND(E23*VLOOKUP(C23,GiaDinh!$E$14:$G$16,2,FALSE),2)</f>
        <v/>
      </c>
      <c r="E23">
        <f>CPM!C23</f>
        <v/>
      </c>
      <c r="F23" s="13">
        <f>ROUND(E23*VLOOKUP(C23,GiaDinh!$E$14:$G$16,3,FALSE),2)</f>
        <v/>
      </c>
      <c r="G23" s="13">
        <f>(D23+4*E23+F23)/6</f>
        <v/>
      </c>
      <c r="H23" s="13">
        <f>((F23-D23)/6)^2</f>
        <v/>
      </c>
      <c r="I23" t="inlineStr">
        <is>
          <t>x</t>
        </is>
      </c>
    </row>
    <row r="25">
      <c r="B25" s="4" t="inlineStr">
        <is>
          <t>Đường găng chính (độ bất định lớn nhất): A → C → D → E → H → I → L → M → O → P → S</t>
        </is>
      </c>
    </row>
    <row r="26">
      <c r="B26" t="inlineStr">
        <is>
          <t>Thời gian CPM (tuần)</t>
        </is>
      </c>
      <c r="G26" s="13">
        <f>CPM!$F$24</f>
        <v/>
      </c>
    </row>
    <row r="27">
      <c r="B27" t="inlineStr">
        <is>
          <t>Thời gian lịch kỳ vọng (tuần)</t>
        </is>
      </c>
      <c r="G27" s="13">
        <f>G26+SUMPRODUCT((I5:I23="x")*(G5:G23-E5:E23))</f>
        <v/>
      </c>
    </row>
    <row r="28">
      <c r="B28" t="inlineStr">
        <is>
          <t>Độ lệch chuẩn (tuần)</t>
        </is>
      </c>
      <c r="G28" s="13">
        <f>SQRT(SUMPRODUCT((I5:I23="x")*H5:H23))</f>
        <v/>
      </c>
    </row>
    <row r="29">
      <c r="B29" t="inlineStr">
        <is>
          <t>Xác suất hoàn thành trong 16 tuần</t>
        </is>
      </c>
      <c r="G29" s="24">
        <f>NORMSDIST((16-G27)/G28)</f>
        <v/>
      </c>
    </row>
    <row r="30">
      <c r="B30" t="inlineStr">
        <is>
          <t>Xác suất hoàn thành trong 17 tuần</t>
        </is>
      </c>
      <c r="G30" s="24">
        <f>NORMSDIST((17-G27)/G28)</f>
        <v/>
      </c>
    </row>
    <row r="31">
      <c r="B31" t="inlineStr">
        <is>
          <t>Xác suất hoàn thành trong 18 tuần</t>
        </is>
      </c>
      <c r="G31" s="24">
        <f>NORMSDIST((18-G27)/G28)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1" customWidth="1" min="3" max="3"/>
    <col width="11" customWidth="1" min="4" max="4"/>
    <col width="8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</cols>
  <sheetData>
    <row r="1">
      <c r="A1" s="1" t="inlineStr">
        <is>
          <t>Biểu đồ Gantt theo tuần</t>
        </is>
      </c>
    </row>
    <row r="2">
      <c r="A2" s="2" t="inlineStr">
        <is>
          <t>Ô có số 1 nghĩa là hoạt động chạy trong tuần đó. Đỏ: hoạt động găng; xanh: có độ dự trữ.</t>
        </is>
      </c>
    </row>
    <row r="4" ht="32" customHeight="1">
      <c r="A4" s="3" t="inlineStr">
        <is>
          <t>Mã</t>
        </is>
      </c>
      <c r="B4" s="3" t="inlineStr">
        <is>
          <t>Hoạt động</t>
        </is>
      </c>
      <c r="C4" s="3" t="inlineStr">
        <is>
          <t>Bắt đầu (ES)</t>
        </is>
      </c>
      <c r="D4" s="3" t="inlineStr">
        <is>
          <t>Kết thúc (EF)</t>
        </is>
      </c>
      <c r="E4" s="3" t="inlineStr">
        <is>
          <t>Găng?</t>
        </is>
      </c>
      <c r="F4" s="3" t="inlineStr">
        <is>
          <t>T1</t>
        </is>
      </c>
      <c r="G4" s="3" t="inlineStr">
        <is>
          <t>T2</t>
        </is>
      </c>
      <c r="H4" s="3" t="inlineStr">
        <is>
          <t>T3</t>
        </is>
      </c>
      <c r="I4" s="3" t="inlineStr">
        <is>
          <t>T4</t>
        </is>
      </c>
      <c r="J4" s="3" t="inlineStr">
        <is>
          <t>T5</t>
        </is>
      </c>
      <c r="K4" s="3" t="inlineStr">
        <is>
          <t>T6</t>
        </is>
      </c>
      <c r="L4" s="3" t="inlineStr">
        <is>
          <t>T7</t>
        </is>
      </c>
      <c r="M4" s="3" t="inlineStr">
        <is>
          <t>T8</t>
        </is>
      </c>
      <c r="N4" s="3" t="inlineStr">
        <is>
          <t>T9</t>
        </is>
      </c>
      <c r="O4" s="3" t="inlineStr">
        <is>
          <t>T10</t>
        </is>
      </c>
      <c r="P4" s="3" t="inlineStr">
        <is>
          <t>T11</t>
        </is>
      </c>
      <c r="Q4" s="3" t="inlineStr">
        <is>
          <t>T12</t>
        </is>
      </c>
      <c r="R4" s="3" t="inlineStr">
        <is>
          <t>T13</t>
        </is>
      </c>
      <c r="S4" s="3" t="inlineStr">
        <is>
          <t>T14</t>
        </is>
      </c>
      <c r="T4" s="3" t="inlineStr">
        <is>
          <t>T15</t>
        </is>
      </c>
      <c r="U4" s="3" t="inlineStr">
        <is>
          <t>T16</t>
        </is>
      </c>
    </row>
    <row r="5">
      <c r="A5" s="21" t="inlineStr">
        <is>
          <t>A</t>
        </is>
      </c>
      <c r="B5" s="21" t="inlineStr">
        <is>
          <t>Khởi tạo, SOW</t>
        </is>
      </c>
      <c r="C5" s="21">
        <f>CPM!E5</f>
        <v/>
      </c>
      <c r="D5" s="21">
        <f>CPM!F5</f>
        <v/>
      </c>
      <c r="E5" s="21">
        <f>CPM!J5</f>
        <v/>
      </c>
      <c r="F5" s="25">
        <f>IF(AND(1&gt;$C5,1&lt;=$D5),1,0)</f>
        <v/>
      </c>
      <c r="G5" s="25">
        <f>IF(AND(2&gt;$C5,2&lt;=$D5),1,0)</f>
        <v/>
      </c>
      <c r="H5" s="25">
        <f>IF(AND(3&gt;$C5,3&lt;=$D5),1,0)</f>
        <v/>
      </c>
      <c r="I5" s="25">
        <f>IF(AND(4&gt;$C5,4&lt;=$D5),1,0)</f>
        <v/>
      </c>
      <c r="J5" s="25">
        <f>IF(AND(5&gt;$C5,5&lt;=$D5),1,0)</f>
        <v/>
      </c>
      <c r="K5" s="25">
        <f>IF(AND(6&gt;$C5,6&lt;=$D5),1,0)</f>
        <v/>
      </c>
      <c r="L5" s="25">
        <f>IF(AND(7&gt;$C5,7&lt;=$D5),1,0)</f>
        <v/>
      </c>
      <c r="M5" s="25">
        <f>IF(AND(8&gt;$C5,8&lt;=$D5),1,0)</f>
        <v/>
      </c>
      <c r="N5" s="25">
        <f>IF(AND(9&gt;$C5,9&lt;=$D5),1,0)</f>
        <v/>
      </c>
      <c r="O5" s="25">
        <f>IF(AND(10&gt;$C5,10&lt;=$D5),1,0)</f>
        <v/>
      </c>
      <c r="P5" s="25">
        <f>IF(AND(11&gt;$C5,11&lt;=$D5),1,0)</f>
        <v/>
      </c>
      <c r="Q5" s="25">
        <f>IF(AND(12&gt;$C5,12&lt;=$D5),1,0)</f>
        <v/>
      </c>
      <c r="R5" s="25">
        <f>IF(AND(13&gt;$C5,13&lt;=$D5),1,0)</f>
        <v/>
      </c>
      <c r="S5" s="25">
        <f>IF(AND(14&gt;$C5,14&lt;=$D5),1,0)</f>
        <v/>
      </c>
      <c r="T5" s="25">
        <f>IF(AND(15&gt;$C5,15&lt;=$D5),1,0)</f>
        <v/>
      </c>
      <c r="U5" s="25">
        <f>IF(AND(16&gt;$C5,16&lt;=$D5),1,0)</f>
        <v/>
      </c>
    </row>
    <row r="6">
      <c r="A6" s="21" t="inlineStr">
        <is>
          <t>C</t>
        </is>
      </c>
      <c r="B6" s="21" t="inlineStr">
        <is>
          <t>Khảo sát nghiệp vụ</t>
        </is>
      </c>
      <c r="C6" s="21">
        <f>CPM!E6</f>
        <v/>
      </c>
      <c r="D6" s="21">
        <f>CPM!F6</f>
        <v/>
      </c>
      <c r="E6" s="21">
        <f>CPM!J6</f>
        <v/>
      </c>
      <c r="F6" s="25">
        <f>IF(AND(1&gt;$C6,1&lt;=$D6),1,0)</f>
        <v/>
      </c>
      <c r="G6" s="25">
        <f>IF(AND(2&gt;$C6,2&lt;=$D6),1,0)</f>
        <v/>
      </c>
      <c r="H6" s="25">
        <f>IF(AND(3&gt;$C6,3&lt;=$D6),1,0)</f>
        <v/>
      </c>
      <c r="I6" s="25">
        <f>IF(AND(4&gt;$C6,4&lt;=$D6),1,0)</f>
        <v/>
      </c>
      <c r="J6" s="25">
        <f>IF(AND(5&gt;$C6,5&lt;=$D6),1,0)</f>
        <v/>
      </c>
      <c r="K6" s="25">
        <f>IF(AND(6&gt;$C6,6&lt;=$D6),1,0)</f>
        <v/>
      </c>
      <c r="L6" s="25">
        <f>IF(AND(7&gt;$C6,7&lt;=$D6),1,0)</f>
        <v/>
      </c>
      <c r="M6" s="25">
        <f>IF(AND(8&gt;$C6,8&lt;=$D6),1,0)</f>
        <v/>
      </c>
      <c r="N6" s="25">
        <f>IF(AND(9&gt;$C6,9&lt;=$D6),1,0)</f>
        <v/>
      </c>
      <c r="O6" s="25">
        <f>IF(AND(10&gt;$C6,10&lt;=$D6),1,0)</f>
        <v/>
      </c>
      <c r="P6" s="25">
        <f>IF(AND(11&gt;$C6,11&lt;=$D6),1,0)</f>
        <v/>
      </c>
      <c r="Q6" s="25">
        <f>IF(AND(12&gt;$C6,12&lt;=$D6),1,0)</f>
        <v/>
      </c>
      <c r="R6" s="25">
        <f>IF(AND(13&gt;$C6,13&lt;=$D6),1,0)</f>
        <v/>
      </c>
      <c r="S6" s="25">
        <f>IF(AND(14&gt;$C6,14&lt;=$D6),1,0)</f>
        <v/>
      </c>
      <c r="T6" s="25">
        <f>IF(AND(15&gt;$C6,15&lt;=$D6),1,0)</f>
        <v/>
      </c>
      <c r="U6" s="25">
        <f>IF(AND(16&gt;$C6,16&lt;=$D6),1,0)</f>
        <v/>
      </c>
    </row>
    <row r="7">
      <c r="A7" s="21" t="inlineStr">
        <is>
          <t>B</t>
        </is>
      </c>
      <c r="B7" s="21" t="inlineStr">
        <is>
          <t>Dựng môi trường</t>
        </is>
      </c>
      <c r="C7" s="21">
        <f>CPM!E7</f>
        <v/>
      </c>
      <c r="D7" s="21">
        <f>CPM!F7</f>
        <v/>
      </c>
      <c r="E7" s="21">
        <f>CPM!J7</f>
        <v/>
      </c>
      <c r="F7" s="25">
        <f>IF(AND(1&gt;$C7,1&lt;=$D7),1,0)</f>
        <v/>
      </c>
      <c r="G7" s="25">
        <f>IF(AND(2&gt;$C7,2&lt;=$D7),1,0)</f>
        <v/>
      </c>
      <c r="H7" s="25">
        <f>IF(AND(3&gt;$C7,3&lt;=$D7),1,0)</f>
        <v/>
      </c>
      <c r="I7" s="25">
        <f>IF(AND(4&gt;$C7,4&lt;=$D7),1,0)</f>
        <v/>
      </c>
      <c r="J7" s="25">
        <f>IF(AND(5&gt;$C7,5&lt;=$D7),1,0)</f>
        <v/>
      </c>
      <c r="K7" s="25">
        <f>IF(AND(6&gt;$C7,6&lt;=$D7),1,0)</f>
        <v/>
      </c>
      <c r="L7" s="25">
        <f>IF(AND(7&gt;$C7,7&lt;=$D7),1,0)</f>
        <v/>
      </c>
      <c r="M7" s="25">
        <f>IF(AND(8&gt;$C7,8&lt;=$D7),1,0)</f>
        <v/>
      </c>
      <c r="N7" s="25">
        <f>IF(AND(9&gt;$C7,9&lt;=$D7),1,0)</f>
        <v/>
      </c>
      <c r="O7" s="25">
        <f>IF(AND(10&gt;$C7,10&lt;=$D7),1,0)</f>
        <v/>
      </c>
      <c r="P7" s="25">
        <f>IF(AND(11&gt;$C7,11&lt;=$D7),1,0)</f>
        <v/>
      </c>
      <c r="Q7" s="25">
        <f>IF(AND(12&gt;$C7,12&lt;=$D7),1,0)</f>
        <v/>
      </c>
      <c r="R7" s="25">
        <f>IF(AND(13&gt;$C7,13&lt;=$D7),1,0)</f>
        <v/>
      </c>
      <c r="S7" s="25">
        <f>IF(AND(14&gt;$C7,14&lt;=$D7),1,0)</f>
        <v/>
      </c>
      <c r="T7" s="25">
        <f>IF(AND(15&gt;$C7,15&lt;=$D7),1,0)</f>
        <v/>
      </c>
      <c r="U7" s="25">
        <f>IF(AND(16&gt;$C7,16&lt;=$D7),1,0)</f>
        <v/>
      </c>
    </row>
    <row r="8">
      <c r="A8" s="21" t="inlineStr">
        <is>
          <t>D</t>
        </is>
      </c>
      <c r="B8" s="21" t="inlineStr">
        <is>
          <t>Phân tích: SRS, User Story</t>
        </is>
      </c>
      <c r="C8" s="21">
        <f>CPM!E8</f>
        <v/>
      </c>
      <c r="D8" s="21">
        <f>CPM!F8</f>
        <v/>
      </c>
      <c r="E8" s="21">
        <f>CPM!J8</f>
        <v/>
      </c>
      <c r="F8" s="25">
        <f>IF(AND(1&gt;$C8,1&lt;=$D8),1,0)</f>
        <v/>
      </c>
      <c r="G8" s="25">
        <f>IF(AND(2&gt;$C8,2&lt;=$D8),1,0)</f>
        <v/>
      </c>
      <c r="H8" s="25">
        <f>IF(AND(3&gt;$C8,3&lt;=$D8),1,0)</f>
        <v/>
      </c>
      <c r="I8" s="25">
        <f>IF(AND(4&gt;$C8,4&lt;=$D8),1,0)</f>
        <v/>
      </c>
      <c r="J8" s="25">
        <f>IF(AND(5&gt;$C8,5&lt;=$D8),1,0)</f>
        <v/>
      </c>
      <c r="K8" s="25">
        <f>IF(AND(6&gt;$C8,6&lt;=$D8),1,0)</f>
        <v/>
      </c>
      <c r="L8" s="25">
        <f>IF(AND(7&gt;$C8,7&lt;=$D8),1,0)</f>
        <v/>
      </c>
      <c r="M8" s="25">
        <f>IF(AND(8&gt;$C8,8&lt;=$D8),1,0)</f>
        <v/>
      </c>
      <c r="N8" s="25">
        <f>IF(AND(9&gt;$C8,9&lt;=$D8),1,0)</f>
        <v/>
      </c>
      <c r="O8" s="25">
        <f>IF(AND(10&gt;$C8,10&lt;=$D8),1,0)</f>
        <v/>
      </c>
      <c r="P8" s="25">
        <f>IF(AND(11&gt;$C8,11&lt;=$D8),1,0)</f>
        <v/>
      </c>
      <c r="Q8" s="25">
        <f>IF(AND(12&gt;$C8,12&lt;=$D8),1,0)</f>
        <v/>
      </c>
      <c r="R8" s="25">
        <f>IF(AND(13&gt;$C8,13&lt;=$D8),1,0)</f>
        <v/>
      </c>
      <c r="S8" s="25">
        <f>IF(AND(14&gt;$C8,14&lt;=$D8),1,0)</f>
        <v/>
      </c>
      <c r="T8" s="25">
        <f>IF(AND(15&gt;$C8,15&lt;=$D8),1,0)</f>
        <v/>
      </c>
      <c r="U8" s="25">
        <f>IF(AND(16&gt;$C8,16&lt;=$D8),1,0)</f>
        <v/>
      </c>
    </row>
    <row r="9">
      <c r="A9" s="21" t="inlineStr">
        <is>
          <t>E</t>
        </is>
      </c>
      <c r="B9" s="21" t="inlineStr">
        <is>
          <t>Thiết kế kiến trúc, CSDL</t>
        </is>
      </c>
      <c r="C9" s="21">
        <f>CPM!E9</f>
        <v/>
      </c>
      <c r="D9" s="21">
        <f>CPM!F9</f>
        <v/>
      </c>
      <c r="E9" s="21">
        <f>CPM!J9</f>
        <v/>
      </c>
      <c r="F9" s="25">
        <f>IF(AND(1&gt;$C9,1&lt;=$D9),1,0)</f>
        <v/>
      </c>
      <c r="G9" s="25">
        <f>IF(AND(2&gt;$C9,2&lt;=$D9),1,0)</f>
        <v/>
      </c>
      <c r="H9" s="25">
        <f>IF(AND(3&gt;$C9,3&lt;=$D9),1,0)</f>
        <v/>
      </c>
      <c r="I9" s="25">
        <f>IF(AND(4&gt;$C9,4&lt;=$D9),1,0)</f>
        <v/>
      </c>
      <c r="J9" s="25">
        <f>IF(AND(5&gt;$C9,5&lt;=$D9),1,0)</f>
        <v/>
      </c>
      <c r="K9" s="25">
        <f>IF(AND(6&gt;$C9,6&lt;=$D9),1,0)</f>
        <v/>
      </c>
      <c r="L9" s="25">
        <f>IF(AND(7&gt;$C9,7&lt;=$D9),1,0)</f>
        <v/>
      </c>
      <c r="M9" s="25">
        <f>IF(AND(8&gt;$C9,8&lt;=$D9),1,0)</f>
        <v/>
      </c>
      <c r="N9" s="25">
        <f>IF(AND(9&gt;$C9,9&lt;=$D9),1,0)</f>
        <v/>
      </c>
      <c r="O9" s="25">
        <f>IF(AND(10&gt;$C9,10&lt;=$D9),1,0)</f>
        <v/>
      </c>
      <c r="P9" s="25">
        <f>IF(AND(11&gt;$C9,11&lt;=$D9),1,0)</f>
        <v/>
      </c>
      <c r="Q9" s="25">
        <f>IF(AND(12&gt;$C9,12&lt;=$D9),1,0)</f>
        <v/>
      </c>
      <c r="R9" s="25">
        <f>IF(AND(13&gt;$C9,13&lt;=$D9),1,0)</f>
        <v/>
      </c>
      <c r="S9" s="25">
        <f>IF(AND(14&gt;$C9,14&lt;=$D9),1,0)</f>
        <v/>
      </c>
      <c r="T9" s="25">
        <f>IF(AND(15&gt;$C9,15&lt;=$D9),1,0)</f>
        <v/>
      </c>
      <c r="U9" s="25">
        <f>IF(AND(16&gt;$C9,16&lt;=$D9),1,0)</f>
        <v/>
      </c>
    </row>
    <row r="10">
      <c r="A10" s="21" t="inlineStr">
        <is>
          <t>F</t>
        </is>
      </c>
      <c r="B10" s="21" t="inlineStr">
        <is>
          <t>Thiết kế API, giao diện</t>
        </is>
      </c>
      <c r="C10" s="21">
        <f>CPM!E10</f>
        <v/>
      </c>
      <c r="D10" s="21">
        <f>CPM!F10</f>
        <v/>
      </c>
      <c r="E10" s="21">
        <f>CPM!J10</f>
        <v/>
      </c>
      <c r="F10" s="25">
        <f>IF(AND(1&gt;$C10,1&lt;=$D10),1,0)</f>
        <v/>
      </c>
      <c r="G10" s="25">
        <f>IF(AND(2&gt;$C10,2&lt;=$D10),1,0)</f>
        <v/>
      </c>
      <c r="H10" s="25">
        <f>IF(AND(3&gt;$C10,3&lt;=$D10),1,0)</f>
        <v/>
      </c>
      <c r="I10" s="25">
        <f>IF(AND(4&gt;$C10,4&lt;=$D10),1,0)</f>
        <v/>
      </c>
      <c r="J10" s="25">
        <f>IF(AND(5&gt;$C10,5&lt;=$D10),1,0)</f>
        <v/>
      </c>
      <c r="K10" s="25">
        <f>IF(AND(6&gt;$C10,6&lt;=$D10),1,0)</f>
        <v/>
      </c>
      <c r="L10" s="25">
        <f>IF(AND(7&gt;$C10,7&lt;=$D10),1,0)</f>
        <v/>
      </c>
      <c r="M10" s="25">
        <f>IF(AND(8&gt;$C10,8&lt;=$D10),1,0)</f>
        <v/>
      </c>
      <c r="N10" s="25">
        <f>IF(AND(9&gt;$C10,9&lt;=$D10),1,0)</f>
        <v/>
      </c>
      <c r="O10" s="25">
        <f>IF(AND(10&gt;$C10,10&lt;=$D10),1,0)</f>
        <v/>
      </c>
      <c r="P10" s="25">
        <f>IF(AND(11&gt;$C10,11&lt;=$D10),1,0)</f>
        <v/>
      </c>
      <c r="Q10" s="25">
        <f>IF(AND(12&gt;$C10,12&lt;=$D10),1,0)</f>
        <v/>
      </c>
      <c r="R10" s="25">
        <f>IF(AND(13&gt;$C10,13&lt;=$D10),1,0)</f>
        <v/>
      </c>
      <c r="S10" s="25">
        <f>IF(AND(14&gt;$C10,14&lt;=$D10),1,0)</f>
        <v/>
      </c>
      <c r="T10" s="25">
        <f>IF(AND(15&gt;$C10,15&lt;=$D10),1,0)</f>
        <v/>
      </c>
      <c r="U10" s="25">
        <f>IF(AND(16&gt;$C10,16&lt;=$D10),1,0)</f>
        <v/>
      </c>
    </row>
    <row r="11">
      <c r="A11" s="21" t="inlineStr">
        <is>
          <t>G</t>
        </is>
      </c>
      <c r="B11" s="21" t="inlineStr">
        <is>
          <t>Thiết kế mô hình AI</t>
        </is>
      </c>
      <c r="C11" s="21">
        <f>CPM!E11</f>
        <v/>
      </c>
      <c r="D11" s="21">
        <f>CPM!F11</f>
        <v/>
      </c>
      <c r="E11" s="21">
        <f>CPM!J11</f>
        <v/>
      </c>
      <c r="F11" s="25">
        <f>IF(AND(1&gt;$C11,1&lt;=$D11),1,0)</f>
        <v/>
      </c>
      <c r="G11" s="25">
        <f>IF(AND(2&gt;$C11,2&lt;=$D11),1,0)</f>
        <v/>
      </c>
      <c r="H11" s="25">
        <f>IF(AND(3&gt;$C11,3&lt;=$D11),1,0)</f>
        <v/>
      </c>
      <c r="I11" s="25">
        <f>IF(AND(4&gt;$C11,4&lt;=$D11),1,0)</f>
        <v/>
      </c>
      <c r="J11" s="25">
        <f>IF(AND(5&gt;$C11,5&lt;=$D11),1,0)</f>
        <v/>
      </c>
      <c r="K11" s="25">
        <f>IF(AND(6&gt;$C11,6&lt;=$D11),1,0)</f>
        <v/>
      </c>
      <c r="L11" s="25">
        <f>IF(AND(7&gt;$C11,7&lt;=$D11),1,0)</f>
        <v/>
      </c>
      <c r="M11" s="25">
        <f>IF(AND(8&gt;$C11,8&lt;=$D11),1,0)</f>
        <v/>
      </c>
      <c r="N11" s="25">
        <f>IF(AND(9&gt;$C11,9&lt;=$D11),1,0)</f>
        <v/>
      </c>
      <c r="O11" s="25">
        <f>IF(AND(10&gt;$C11,10&lt;=$D11),1,0)</f>
        <v/>
      </c>
      <c r="P11" s="25">
        <f>IF(AND(11&gt;$C11,11&lt;=$D11),1,0)</f>
        <v/>
      </c>
      <c r="Q11" s="25">
        <f>IF(AND(12&gt;$C11,12&lt;=$D11),1,0)</f>
        <v/>
      </c>
      <c r="R11" s="25">
        <f>IF(AND(13&gt;$C11,13&lt;=$D11),1,0)</f>
        <v/>
      </c>
      <c r="S11" s="25">
        <f>IF(AND(14&gt;$C11,14&lt;=$D11),1,0)</f>
        <v/>
      </c>
      <c r="T11" s="25">
        <f>IF(AND(15&gt;$C11,15&lt;=$D11),1,0)</f>
        <v/>
      </c>
      <c r="U11" s="25">
        <f>IF(AND(16&gt;$C11,16&lt;=$D11),1,0)</f>
        <v/>
      </c>
    </row>
    <row r="12">
      <c r="A12" s="21" t="inlineStr">
        <is>
          <t>H</t>
        </is>
      </c>
      <c r="B12" s="21" t="inlineStr">
        <is>
          <t>Backend nền: auth, sách, seed</t>
        </is>
      </c>
      <c r="C12" s="21">
        <f>CPM!E12</f>
        <v/>
      </c>
      <c r="D12" s="21">
        <f>CPM!F12</f>
        <v/>
      </c>
      <c r="E12" s="21">
        <f>CPM!J12</f>
        <v/>
      </c>
      <c r="F12" s="25">
        <f>IF(AND(1&gt;$C12,1&lt;=$D12),1,0)</f>
        <v/>
      </c>
      <c r="G12" s="25">
        <f>IF(AND(2&gt;$C12,2&lt;=$D12),1,0)</f>
        <v/>
      </c>
      <c r="H12" s="25">
        <f>IF(AND(3&gt;$C12,3&lt;=$D12),1,0)</f>
        <v/>
      </c>
      <c r="I12" s="25">
        <f>IF(AND(4&gt;$C12,4&lt;=$D12),1,0)</f>
        <v/>
      </c>
      <c r="J12" s="25">
        <f>IF(AND(5&gt;$C12,5&lt;=$D12),1,0)</f>
        <v/>
      </c>
      <c r="K12" s="25">
        <f>IF(AND(6&gt;$C12,6&lt;=$D12),1,0)</f>
        <v/>
      </c>
      <c r="L12" s="25">
        <f>IF(AND(7&gt;$C12,7&lt;=$D12),1,0)</f>
        <v/>
      </c>
      <c r="M12" s="25">
        <f>IF(AND(8&gt;$C12,8&lt;=$D12),1,0)</f>
        <v/>
      </c>
      <c r="N12" s="25">
        <f>IF(AND(9&gt;$C12,9&lt;=$D12),1,0)</f>
        <v/>
      </c>
      <c r="O12" s="25">
        <f>IF(AND(10&gt;$C12,10&lt;=$D12),1,0)</f>
        <v/>
      </c>
      <c r="P12" s="25">
        <f>IF(AND(11&gt;$C12,11&lt;=$D12),1,0)</f>
        <v/>
      </c>
      <c r="Q12" s="25">
        <f>IF(AND(12&gt;$C12,12&lt;=$D12),1,0)</f>
        <v/>
      </c>
      <c r="R12" s="25">
        <f>IF(AND(13&gt;$C12,13&lt;=$D12),1,0)</f>
        <v/>
      </c>
      <c r="S12" s="25">
        <f>IF(AND(14&gt;$C12,14&lt;=$D12),1,0)</f>
        <v/>
      </c>
      <c r="T12" s="25">
        <f>IF(AND(15&gt;$C12,15&lt;=$D12),1,0)</f>
        <v/>
      </c>
      <c r="U12" s="25">
        <f>IF(AND(16&gt;$C12,16&lt;=$D12),1,0)</f>
        <v/>
      </c>
    </row>
    <row r="13">
      <c r="A13" s="21" t="inlineStr">
        <is>
          <t>I</t>
        </is>
      </c>
      <c r="B13" s="21" t="inlineStr">
        <is>
          <t>Backend mượn trả, phạt, tìm kiếm</t>
        </is>
      </c>
      <c r="C13" s="21">
        <f>CPM!E13</f>
        <v/>
      </c>
      <c r="D13" s="21">
        <f>CPM!F13</f>
        <v/>
      </c>
      <c r="E13" s="21">
        <f>CPM!J13</f>
        <v/>
      </c>
      <c r="F13" s="25">
        <f>IF(AND(1&gt;$C13,1&lt;=$D13),1,0)</f>
        <v/>
      </c>
      <c r="G13" s="25">
        <f>IF(AND(2&gt;$C13,2&lt;=$D13),1,0)</f>
        <v/>
      </c>
      <c r="H13" s="25">
        <f>IF(AND(3&gt;$C13,3&lt;=$D13),1,0)</f>
        <v/>
      </c>
      <c r="I13" s="25">
        <f>IF(AND(4&gt;$C13,4&lt;=$D13),1,0)</f>
        <v/>
      </c>
      <c r="J13" s="25">
        <f>IF(AND(5&gt;$C13,5&lt;=$D13),1,0)</f>
        <v/>
      </c>
      <c r="K13" s="25">
        <f>IF(AND(6&gt;$C13,6&lt;=$D13),1,0)</f>
        <v/>
      </c>
      <c r="L13" s="25">
        <f>IF(AND(7&gt;$C13,7&lt;=$D13),1,0)</f>
        <v/>
      </c>
      <c r="M13" s="25">
        <f>IF(AND(8&gt;$C13,8&lt;=$D13),1,0)</f>
        <v/>
      </c>
      <c r="N13" s="25">
        <f>IF(AND(9&gt;$C13,9&lt;=$D13),1,0)</f>
        <v/>
      </c>
      <c r="O13" s="25">
        <f>IF(AND(10&gt;$C13,10&lt;=$D13),1,0)</f>
        <v/>
      </c>
      <c r="P13" s="25">
        <f>IF(AND(11&gt;$C13,11&lt;=$D13),1,0)</f>
        <v/>
      </c>
      <c r="Q13" s="25">
        <f>IF(AND(12&gt;$C13,12&lt;=$D13),1,0)</f>
        <v/>
      </c>
      <c r="R13" s="25">
        <f>IF(AND(13&gt;$C13,13&lt;=$D13),1,0)</f>
        <v/>
      </c>
      <c r="S13" s="25">
        <f>IF(AND(14&gt;$C13,14&lt;=$D13),1,0)</f>
        <v/>
      </c>
      <c r="T13" s="25">
        <f>IF(AND(15&gt;$C13,15&lt;=$D13),1,0)</f>
        <v/>
      </c>
      <c r="U13" s="25">
        <f>IF(AND(16&gt;$C13,16&lt;=$D13),1,0)</f>
        <v/>
      </c>
    </row>
    <row r="14">
      <c r="A14" s="21" t="inlineStr">
        <is>
          <t>J</t>
        </is>
      </c>
      <c r="B14" s="21" t="inlineStr">
        <is>
          <t>Frontend khung, tra cứu, kho</t>
        </is>
      </c>
      <c r="C14" s="21">
        <f>CPM!E14</f>
        <v/>
      </c>
      <c r="D14" s="21">
        <f>CPM!F14</f>
        <v/>
      </c>
      <c r="E14" s="21">
        <f>CPM!J14</f>
        <v/>
      </c>
      <c r="F14" s="25">
        <f>IF(AND(1&gt;$C14,1&lt;=$D14),1,0)</f>
        <v/>
      </c>
      <c r="G14" s="25">
        <f>IF(AND(2&gt;$C14,2&lt;=$D14),1,0)</f>
        <v/>
      </c>
      <c r="H14" s="25">
        <f>IF(AND(3&gt;$C14,3&lt;=$D14),1,0)</f>
        <v/>
      </c>
      <c r="I14" s="25">
        <f>IF(AND(4&gt;$C14,4&lt;=$D14),1,0)</f>
        <v/>
      </c>
      <c r="J14" s="25">
        <f>IF(AND(5&gt;$C14,5&lt;=$D14),1,0)</f>
        <v/>
      </c>
      <c r="K14" s="25">
        <f>IF(AND(6&gt;$C14,6&lt;=$D14),1,0)</f>
        <v/>
      </c>
      <c r="L14" s="25">
        <f>IF(AND(7&gt;$C14,7&lt;=$D14),1,0)</f>
        <v/>
      </c>
      <c r="M14" s="25">
        <f>IF(AND(8&gt;$C14,8&lt;=$D14),1,0)</f>
        <v/>
      </c>
      <c r="N14" s="25">
        <f>IF(AND(9&gt;$C14,9&lt;=$D14),1,0)</f>
        <v/>
      </c>
      <c r="O14" s="25">
        <f>IF(AND(10&gt;$C14,10&lt;=$D14),1,0)</f>
        <v/>
      </c>
      <c r="P14" s="25">
        <f>IF(AND(11&gt;$C14,11&lt;=$D14),1,0)</f>
        <v/>
      </c>
      <c r="Q14" s="25">
        <f>IF(AND(12&gt;$C14,12&lt;=$D14),1,0)</f>
        <v/>
      </c>
      <c r="R14" s="25">
        <f>IF(AND(13&gt;$C14,13&lt;=$D14),1,0)</f>
        <v/>
      </c>
      <c r="S14" s="25">
        <f>IF(AND(14&gt;$C14,14&lt;=$D14),1,0)</f>
        <v/>
      </c>
      <c r="T14" s="25">
        <f>IF(AND(15&gt;$C14,15&lt;=$D14),1,0)</f>
        <v/>
      </c>
      <c r="U14" s="25">
        <f>IF(AND(16&gt;$C14,16&lt;=$D14),1,0)</f>
        <v/>
      </c>
    </row>
    <row r="15">
      <c r="A15" s="21" t="inlineStr">
        <is>
          <t>K</t>
        </is>
      </c>
      <c r="B15" s="21" t="inlineStr">
        <is>
          <t>Frontend quầy, báo cáo</t>
        </is>
      </c>
      <c r="C15" s="21">
        <f>CPM!E15</f>
        <v/>
      </c>
      <c r="D15" s="21">
        <f>CPM!F15</f>
        <v/>
      </c>
      <c r="E15" s="21">
        <f>CPM!J15</f>
        <v/>
      </c>
      <c r="F15" s="25">
        <f>IF(AND(1&gt;$C15,1&lt;=$D15),1,0)</f>
        <v/>
      </c>
      <c r="G15" s="25">
        <f>IF(AND(2&gt;$C15,2&lt;=$D15),1,0)</f>
        <v/>
      </c>
      <c r="H15" s="25">
        <f>IF(AND(3&gt;$C15,3&lt;=$D15),1,0)</f>
        <v/>
      </c>
      <c r="I15" s="25">
        <f>IF(AND(4&gt;$C15,4&lt;=$D15),1,0)</f>
        <v/>
      </c>
      <c r="J15" s="25">
        <f>IF(AND(5&gt;$C15,5&lt;=$D15),1,0)</f>
        <v/>
      </c>
      <c r="K15" s="25">
        <f>IF(AND(6&gt;$C15,6&lt;=$D15),1,0)</f>
        <v/>
      </c>
      <c r="L15" s="25">
        <f>IF(AND(7&gt;$C15,7&lt;=$D15),1,0)</f>
        <v/>
      </c>
      <c r="M15" s="25">
        <f>IF(AND(8&gt;$C15,8&lt;=$D15),1,0)</f>
        <v/>
      </c>
      <c r="N15" s="25">
        <f>IF(AND(9&gt;$C15,9&lt;=$D15),1,0)</f>
        <v/>
      </c>
      <c r="O15" s="25">
        <f>IF(AND(10&gt;$C15,10&lt;=$D15),1,0)</f>
        <v/>
      </c>
      <c r="P15" s="25">
        <f>IF(AND(11&gt;$C15,11&lt;=$D15),1,0)</f>
        <v/>
      </c>
      <c r="Q15" s="25">
        <f>IF(AND(12&gt;$C15,12&lt;=$D15),1,0)</f>
        <v/>
      </c>
      <c r="R15" s="25">
        <f>IF(AND(13&gt;$C15,13&lt;=$D15),1,0)</f>
        <v/>
      </c>
      <c r="S15" s="25">
        <f>IF(AND(14&gt;$C15,14&lt;=$D15),1,0)</f>
        <v/>
      </c>
      <c r="T15" s="25">
        <f>IF(AND(15&gt;$C15,15&lt;=$D15),1,0)</f>
        <v/>
      </c>
      <c r="U15" s="25">
        <f>IF(AND(16&gt;$C15,16&lt;=$D15),1,0)</f>
        <v/>
      </c>
    </row>
    <row r="16">
      <c r="A16" s="21" t="inlineStr">
        <is>
          <t>L</t>
        </is>
      </c>
      <c r="B16" s="21" t="inlineStr">
        <is>
          <t>AI gợi ý và dự báo</t>
        </is>
      </c>
      <c r="C16" s="21">
        <f>CPM!E16</f>
        <v/>
      </c>
      <c r="D16" s="21">
        <f>CPM!F16</f>
        <v/>
      </c>
      <c r="E16" s="21">
        <f>CPM!J16</f>
        <v/>
      </c>
      <c r="F16" s="25">
        <f>IF(AND(1&gt;$C16,1&lt;=$D16),1,0)</f>
        <v/>
      </c>
      <c r="G16" s="25">
        <f>IF(AND(2&gt;$C16,2&lt;=$D16),1,0)</f>
        <v/>
      </c>
      <c r="H16" s="25">
        <f>IF(AND(3&gt;$C16,3&lt;=$D16),1,0)</f>
        <v/>
      </c>
      <c r="I16" s="25">
        <f>IF(AND(4&gt;$C16,4&lt;=$D16),1,0)</f>
        <v/>
      </c>
      <c r="J16" s="25">
        <f>IF(AND(5&gt;$C16,5&lt;=$D16),1,0)</f>
        <v/>
      </c>
      <c r="K16" s="25">
        <f>IF(AND(6&gt;$C16,6&lt;=$D16),1,0)</f>
        <v/>
      </c>
      <c r="L16" s="25">
        <f>IF(AND(7&gt;$C16,7&lt;=$D16),1,0)</f>
        <v/>
      </c>
      <c r="M16" s="25">
        <f>IF(AND(8&gt;$C16,8&lt;=$D16),1,0)</f>
        <v/>
      </c>
      <c r="N16" s="25">
        <f>IF(AND(9&gt;$C16,9&lt;=$D16),1,0)</f>
        <v/>
      </c>
      <c r="O16" s="25">
        <f>IF(AND(10&gt;$C16,10&lt;=$D16),1,0)</f>
        <v/>
      </c>
      <c r="P16" s="25">
        <f>IF(AND(11&gt;$C16,11&lt;=$D16),1,0)</f>
        <v/>
      </c>
      <c r="Q16" s="25">
        <f>IF(AND(12&gt;$C16,12&lt;=$D16),1,0)</f>
        <v/>
      </c>
      <c r="R16" s="25">
        <f>IF(AND(13&gt;$C16,13&lt;=$D16),1,0)</f>
        <v/>
      </c>
      <c r="S16" s="25">
        <f>IF(AND(14&gt;$C16,14&lt;=$D16),1,0)</f>
        <v/>
      </c>
      <c r="T16" s="25">
        <f>IF(AND(15&gt;$C16,15&lt;=$D16),1,0)</f>
        <v/>
      </c>
      <c r="U16" s="25">
        <f>IF(AND(16&gt;$C16,16&lt;=$D16),1,0)</f>
        <v/>
      </c>
    </row>
    <row r="17">
      <c r="A17" s="21" t="inlineStr">
        <is>
          <t>M</t>
        </is>
      </c>
      <c r="B17" s="21" t="inlineStr">
        <is>
          <t>Tích hợp Backend, AI, Frontend</t>
        </is>
      </c>
      <c r="C17" s="21">
        <f>CPM!E17</f>
        <v/>
      </c>
      <c r="D17" s="21">
        <f>CPM!F17</f>
        <v/>
      </c>
      <c r="E17" s="21">
        <f>CPM!J17</f>
        <v/>
      </c>
      <c r="F17" s="25">
        <f>IF(AND(1&gt;$C17,1&lt;=$D17),1,0)</f>
        <v/>
      </c>
      <c r="G17" s="25">
        <f>IF(AND(2&gt;$C17,2&lt;=$D17),1,0)</f>
        <v/>
      </c>
      <c r="H17" s="25">
        <f>IF(AND(3&gt;$C17,3&lt;=$D17),1,0)</f>
        <v/>
      </c>
      <c r="I17" s="25">
        <f>IF(AND(4&gt;$C17,4&lt;=$D17),1,0)</f>
        <v/>
      </c>
      <c r="J17" s="25">
        <f>IF(AND(5&gt;$C17,5&lt;=$D17),1,0)</f>
        <v/>
      </c>
      <c r="K17" s="25">
        <f>IF(AND(6&gt;$C17,6&lt;=$D17),1,0)</f>
        <v/>
      </c>
      <c r="L17" s="25">
        <f>IF(AND(7&gt;$C17,7&lt;=$D17),1,0)</f>
        <v/>
      </c>
      <c r="M17" s="25">
        <f>IF(AND(8&gt;$C17,8&lt;=$D17),1,0)</f>
        <v/>
      </c>
      <c r="N17" s="25">
        <f>IF(AND(9&gt;$C17,9&lt;=$D17),1,0)</f>
        <v/>
      </c>
      <c r="O17" s="25">
        <f>IF(AND(10&gt;$C17,10&lt;=$D17),1,0)</f>
        <v/>
      </c>
      <c r="P17" s="25">
        <f>IF(AND(11&gt;$C17,11&lt;=$D17),1,0)</f>
        <v/>
      </c>
      <c r="Q17" s="25">
        <f>IF(AND(12&gt;$C17,12&lt;=$D17),1,0)</f>
        <v/>
      </c>
      <c r="R17" s="25">
        <f>IF(AND(13&gt;$C17,13&lt;=$D17),1,0)</f>
        <v/>
      </c>
      <c r="S17" s="25">
        <f>IF(AND(14&gt;$C17,14&lt;=$D17),1,0)</f>
        <v/>
      </c>
      <c r="T17" s="25">
        <f>IF(AND(15&gt;$C17,15&lt;=$D17),1,0)</f>
        <v/>
      </c>
      <c r="U17" s="25">
        <f>IF(AND(16&gt;$C17,16&lt;=$D17),1,0)</f>
        <v/>
      </c>
    </row>
    <row r="18">
      <c r="A18" s="21" t="inlineStr">
        <is>
          <t>N</t>
        </is>
      </c>
      <c r="B18" s="21" t="inlineStr">
        <is>
          <t>Kiểm thử đơn vị, tích hợp</t>
        </is>
      </c>
      <c r="C18" s="21">
        <f>CPM!E18</f>
        <v/>
      </c>
      <c r="D18" s="21">
        <f>CPM!F18</f>
        <v/>
      </c>
      <c r="E18" s="21">
        <f>CPM!J18</f>
        <v/>
      </c>
      <c r="F18" s="25">
        <f>IF(AND(1&gt;$C18,1&lt;=$D18),1,0)</f>
        <v/>
      </c>
      <c r="G18" s="25">
        <f>IF(AND(2&gt;$C18,2&lt;=$D18),1,0)</f>
        <v/>
      </c>
      <c r="H18" s="25">
        <f>IF(AND(3&gt;$C18,3&lt;=$D18),1,0)</f>
        <v/>
      </c>
      <c r="I18" s="25">
        <f>IF(AND(4&gt;$C18,4&lt;=$D18),1,0)</f>
        <v/>
      </c>
      <c r="J18" s="25">
        <f>IF(AND(5&gt;$C18,5&lt;=$D18),1,0)</f>
        <v/>
      </c>
      <c r="K18" s="25">
        <f>IF(AND(6&gt;$C18,6&lt;=$D18),1,0)</f>
        <v/>
      </c>
      <c r="L18" s="25">
        <f>IF(AND(7&gt;$C18,7&lt;=$D18),1,0)</f>
        <v/>
      </c>
      <c r="M18" s="25">
        <f>IF(AND(8&gt;$C18,8&lt;=$D18),1,0)</f>
        <v/>
      </c>
      <c r="N18" s="25">
        <f>IF(AND(9&gt;$C18,9&lt;=$D18),1,0)</f>
        <v/>
      </c>
      <c r="O18" s="25">
        <f>IF(AND(10&gt;$C18,10&lt;=$D18),1,0)</f>
        <v/>
      </c>
      <c r="P18" s="25">
        <f>IF(AND(11&gt;$C18,11&lt;=$D18),1,0)</f>
        <v/>
      </c>
      <c r="Q18" s="25">
        <f>IF(AND(12&gt;$C18,12&lt;=$D18),1,0)</f>
        <v/>
      </c>
      <c r="R18" s="25">
        <f>IF(AND(13&gt;$C18,13&lt;=$D18),1,0)</f>
        <v/>
      </c>
      <c r="S18" s="25">
        <f>IF(AND(14&gt;$C18,14&lt;=$D18),1,0)</f>
        <v/>
      </c>
      <c r="T18" s="25">
        <f>IF(AND(15&gt;$C18,15&lt;=$D18),1,0)</f>
        <v/>
      </c>
      <c r="U18" s="25">
        <f>IF(AND(16&gt;$C18,16&lt;=$D18),1,0)</f>
        <v/>
      </c>
    </row>
    <row r="19">
      <c r="A19" s="21" t="inlineStr">
        <is>
          <t>O</t>
        </is>
      </c>
      <c r="B19" s="21" t="inlineStr">
        <is>
          <t>Kiểm thử hệ thống, UAT</t>
        </is>
      </c>
      <c r="C19" s="21">
        <f>CPM!E19</f>
        <v/>
      </c>
      <c r="D19" s="21">
        <f>CPM!F19</f>
        <v/>
      </c>
      <c r="E19" s="21">
        <f>CPM!J19</f>
        <v/>
      </c>
      <c r="F19" s="25">
        <f>IF(AND(1&gt;$C19,1&lt;=$D19),1,0)</f>
        <v/>
      </c>
      <c r="G19" s="25">
        <f>IF(AND(2&gt;$C19,2&lt;=$D19),1,0)</f>
        <v/>
      </c>
      <c r="H19" s="25">
        <f>IF(AND(3&gt;$C19,3&lt;=$D19),1,0)</f>
        <v/>
      </c>
      <c r="I19" s="25">
        <f>IF(AND(4&gt;$C19,4&lt;=$D19),1,0)</f>
        <v/>
      </c>
      <c r="J19" s="25">
        <f>IF(AND(5&gt;$C19,5&lt;=$D19),1,0)</f>
        <v/>
      </c>
      <c r="K19" s="25">
        <f>IF(AND(6&gt;$C19,6&lt;=$D19),1,0)</f>
        <v/>
      </c>
      <c r="L19" s="25">
        <f>IF(AND(7&gt;$C19,7&lt;=$D19),1,0)</f>
        <v/>
      </c>
      <c r="M19" s="25">
        <f>IF(AND(8&gt;$C19,8&lt;=$D19),1,0)</f>
        <v/>
      </c>
      <c r="N19" s="25">
        <f>IF(AND(9&gt;$C19,9&lt;=$D19),1,0)</f>
        <v/>
      </c>
      <c r="O19" s="25">
        <f>IF(AND(10&gt;$C19,10&lt;=$D19),1,0)</f>
        <v/>
      </c>
      <c r="P19" s="25">
        <f>IF(AND(11&gt;$C19,11&lt;=$D19),1,0)</f>
        <v/>
      </c>
      <c r="Q19" s="25">
        <f>IF(AND(12&gt;$C19,12&lt;=$D19),1,0)</f>
        <v/>
      </c>
      <c r="R19" s="25">
        <f>IF(AND(13&gt;$C19,13&lt;=$D19),1,0)</f>
        <v/>
      </c>
      <c r="S19" s="25">
        <f>IF(AND(14&gt;$C19,14&lt;=$D19),1,0)</f>
        <v/>
      </c>
      <c r="T19" s="25">
        <f>IF(AND(15&gt;$C19,15&lt;=$D19),1,0)</f>
        <v/>
      </c>
      <c r="U19" s="25">
        <f>IF(AND(16&gt;$C19,16&lt;=$D19),1,0)</f>
        <v/>
      </c>
    </row>
    <row r="20">
      <c r="A20" s="21" t="inlineStr">
        <is>
          <t>Q</t>
        </is>
      </c>
      <c r="B20" s="21" t="inlineStr">
        <is>
          <t>Docker, CI/CD</t>
        </is>
      </c>
      <c r="C20" s="21">
        <f>CPM!E20</f>
        <v/>
      </c>
      <c r="D20" s="21">
        <f>CPM!F20</f>
        <v/>
      </c>
      <c r="E20" s="21">
        <f>CPM!J20</f>
        <v/>
      </c>
      <c r="F20" s="25">
        <f>IF(AND(1&gt;$C20,1&lt;=$D20),1,0)</f>
        <v/>
      </c>
      <c r="G20" s="25">
        <f>IF(AND(2&gt;$C20,2&lt;=$D20),1,0)</f>
        <v/>
      </c>
      <c r="H20" s="25">
        <f>IF(AND(3&gt;$C20,3&lt;=$D20),1,0)</f>
        <v/>
      </c>
      <c r="I20" s="25">
        <f>IF(AND(4&gt;$C20,4&lt;=$D20),1,0)</f>
        <v/>
      </c>
      <c r="J20" s="25">
        <f>IF(AND(5&gt;$C20,5&lt;=$D20),1,0)</f>
        <v/>
      </c>
      <c r="K20" s="25">
        <f>IF(AND(6&gt;$C20,6&lt;=$D20),1,0)</f>
        <v/>
      </c>
      <c r="L20" s="25">
        <f>IF(AND(7&gt;$C20,7&lt;=$D20),1,0)</f>
        <v/>
      </c>
      <c r="M20" s="25">
        <f>IF(AND(8&gt;$C20,8&lt;=$D20),1,0)</f>
        <v/>
      </c>
      <c r="N20" s="25">
        <f>IF(AND(9&gt;$C20,9&lt;=$D20),1,0)</f>
        <v/>
      </c>
      <c r="O20" s="25">
        <f>IF(AND(10&gt;$C20,10&lt;=$D20),1,0)</f>
        <v/>
      </c>
      <c r="P20" s="25">
        <f>IF(AND(11&gt;$C20,11&lt;=$D20),1,0)</f>
        <v/>
      </c>
      <c r="Q20" s="25">
        <f>IF(AND(12&gt;$C20,12&lt;=$D20),1,0)</f>
        <v/>
      </c>
      <c r="R20" s="25">
        <f>IF(AND(13&gt;$C20,13&lt;=$D20),1,0)</f>
        <v/>
      </c>
      <c r="S20" s="25">
        <f>IF(AND(14&gt;$C20,14&lt;=$D20),1,0)</f>
        <v/>
      </c>
      <c r="T20" s="25">
        <f>IF(AND(15&gt;$C20,15&lt;=$D20),1,0)</f>
        <v/>
      </c>
      <c r="U20" s="25">
        <f>IF(AND(16&gt;$C20,16&lt;=$D20),1,0)</f>
        <v/>
      </c>
    </row>
    <row r="21">
      <c r="A21" s="21" t="inlineStr">
        <is>
          <t>P</t>
        </is>
      </c>
      <c r="B21" s="21" t="inlineStr">
        <is>
          <t>Triển khai cloud, vận hành thử</t>
        </is>
      </c>
      <c r="C21" s="21">
        <f>CPM!E21</f>
        <v/>
      </c>
      <c r="D21" s="21">
        <f>CPM!F21</f>
        <v/>
      </c>
      <c r="E21" s="21">
        <f>CPM!J21</f>
        <v/>
      </c>
      <c r="F21" s="25">
        <f>IF(AND(1&gt;$C21,1&lt;=$D21),1,0)</f>
        <v/>
      </c>
      <c r="G21" s="25">
        <f>IF(AND(2&gt;$C21,2&lt;=$D21),1,0)</f>
        <v/>
      </c>
      <c r="H21" s="25">
        <f>IF(AND(3&gt;$C21,3&lt;=$D21),1,0)</f>
        <v/>
      </c>
      <c r="I21" s="25">
        <f>IF(AND(4&gt;$C21,4&lt;=$D21),1,0)</f>
        <v/>
      </c>
      <c r="J21" s="25">
        <f>IF(AND(5&gt;$C21,5&lt;=$D21),1,0)</f>
        <v/>
      </c>
      <c r="K21" s="25">
        <f>IF(AND(6&gt;$C21,6&lt;=$D21),1,0)</f>
        <v/>
      </c>
      <c r="L21" s="25">
        <f>IF(AND(7&gt;$C21,7&lt;=$D21),1,0)</f>
        <v/>
      </c>
      <c r="M21" s="25">
        <f>IF(AND(8&gt;$C21,8&lt;=$D21),1,0)</f>
        <v/>
      </c>
      <c r="N21" s="25">
        <f>IF(AND(9&gt;$C21,9&lt;=$D21),1,0)</f>
        <v/>
      </c>
      <c r="O21" s="25">
        <f>IF(AND(10&gt;$C21,10&lt;=$D21),1,0)</f>
        <v/>
      </c>
      <c r="P21" s="25">
        <f>IF(AND(11&gt;$C21,11&lt;=$D21),1,0)</f>
        <v/>
      </c>
      <c r="Q21" s="25">
        <f>IF(AND(12&gt;$C21,12&lt;=$D21),1,0)</f>
        <v/>
      </c>
      <c r="R21" s="25">
        <f>IF(AND(13&gt;$C21,13&lt;=$D21),1,0)</f>
        <v/>
      </c>
      <c r="S21" s="25">
        <f>IF(AND(14&gt;$C21,14&lt;=$D21),1,0)</f>
        <v/>
      </c>
      <c r="T21" s="25">
        <f>IF(AND(15&gt;$C21,15&lt;=$D21),1,0)</f>
        <v/>
      </c>
      <c r="U21" s="25">
        <f>IF(AND(16&gt;$C21,16&lt;=$D21),1,0)</f>
        <v/>
      </c>
    </row>
    <row r="22">
      <c r="A22" s="21" t="inlineStr">
        <is>
          <t>R</t>
        </is>
      </c>
      <c r="B22" s="21" t="inlineStr">
        <is>
          <t>Tài liệu, đào tạo thủ thư</t>
        </is>
      </c>
      <c r="C22" s="21">
        <f>CPM!E22</f>
        <v/>
      </c>
      <c r="D22" s="21">
        <f>CPM!F22</f>
        <v/>
      </c>
      <c r="E22" s="21">
        <f>CPM!J22</f>
        <v/>
      </c>
      <c r="F22" s="25">
        <f>IF(AND(1&gt;$C22,1&lt;=$D22),1,0)</f>
        <v/>
      </c>
      <c r="G22" s="25">
        <f>IF(AND(2&gt;$C22,2&lt;=$D22),1,0)</f>
        <v/>
      </c>
      <c r="H22" s="25">
        <f>IF(AND(3&gt;$C22,3&lt;=$D22),1,0)</f>
        <v/>
      </c>
      <c r="I22" s="25">
        <f>IF(AND(4&gt;$C22,4&lt;=$D22),1,0)</f>
        <v/>
      </c>
      <c r="J22" s="25">
        <f>IF(AND(5&gt;$C22,5&lt;=$D22),1,0)</f>
        <v/>
      </c>
      <c r="K22" s="25">
        <f>IF(AND(6&gt;$C22,6&lt;=$D22),1,0)</f>
        <v/>
      </c>
      <c r="L22" s="25">
        <f>IF(AND(7&gt;$C22,7&lt;=$D22),1,0)</f>
        <v/>
      </c>
      <c r="M22" s="25">
        <f>IF(AND(8&gt;$C22,8&lt;=$D22),1,0)</f>
        <v/>
      </c>
      <c r="N22" s="25">
        <f>IF(AND(9&gt;$C22,9&lt;=$D22),1,0)</f>
        <v/>
      </c>
      <c r="O22" s="25">
        <f>IF(AND(10&gt;$C22,10&lt;=$D22),1,0)</f>
        <v/>
      </c>
      <c r="P22" s="25">
        <f>IF(AND(11&gt;$C22,11&lt;=$D22),1,0)</f>
        <v/>
      </c>
      <c r="Q22" s="25">
        <f>IF(AND(12&gt;$C22,12&lt;=$D22),1,0)</f>
        <v/>
      </c>
      <c r="R22" s="25">
        <f>IF(AND(13&gt;$C22,13&lt;=$D22),1,0)</f>
        <v/>
      </c>
      <c r="S22" s="25">
        <f>IF(AND(14&gt;$C22,14&lt;=$D22),1,0)</f>
        <v/>
      </c>
      <c r="T22" s="25">
        <f>IF(AND(15&gt;$C22,15&lt;=$D22),1,0)</f>
        <v/>
      </c>
      <c r="U22" s="25">
        <f>IF(AND(16&gt;$C22,16&lt;=$D22),1,0)</f>
        <v/>
      </c>
    </row>
    <row r="23">
      <c r="A23" s="21" t="inlineStr">
        <is>
          <t>S</t>
        </is>
      </c>
      <c r="B23" s="21" t="inlineStr">
        <is>
          <t>Nghiệm thu, bàn giao</t>
        </is>
      </c>
      <c r="C23" s="21">
        <f>CPM!E23</f>
        <v/>
      </c>
      <c r="D23" s="21">
        <f>CPM!F23</f>
        <v/>
      </c>
      <c r="E23" s="21">
        <f>CPM!J23</f>
        <v/>
      </c>
      <c r="F23" s="25">
        <f>IF(AND(1&gt;$C23,1&lt;=$D23),1,0)</f>
        <v/>
      </c>
      <c r="G23" s="25">
        <f>IF(AND(2&gt;$C23,2&lt;=$D23),1,0)</f>
        <v/>
      </c>
      <c r="H23" s="25">
        <f>IF(AND(3&gt;$C23,3&lt;=$D23),1,0)</f>
        <v/>
      </c>
      <c r="I23" s="25">
        <f>IF(AND(4&gt;$C23,4&lt;=$D23),1,0)</f>
        <v/>
      </c>
      <c r="J23" s="25">
        <f>IF(AND(5&gt;$C23,5&lt;=$D23),1,0)</f>
        <v/>
      </c>
      <c r="K23" s="25">
        <f>IF(AND(6&gt;$C23,6&lt;=$D23),1,0)</f>
        <v/>
      </c>
      <c r="L23" s="25">
        <f>IF(AND(7&gt;$C23,7&lt;=$D23),1,0)</f>
        <v/>
      </c>
      <c r="M23" s="25">
        <f>IF(AND(8&gt;$C23,8&lt;=$D23),1,0)</f>
        <v/>
      </c>
      <c r="N23" s="25">
        <f>IF(AND(9&gt;$C23,9&lt;=$D23),1,0)</f>
        <v/>
      </c>
      <c r="O23" s="25">
        <f>IF(AND(10&gt;$C23,10&lt;=$D23),1,0)</f>
        <v/>
      </c>
      <c r="P23" s="25">
        <f>IF(AND(11&gt;$C23,11&lt;=$D23),1,0)</f>
        <v/>
      </c>
      <c r="Q23" s="25">
        <f>IF(AND(12&gt;$C23,12&lt;=$D23),1,0)</f>
        <v/>
      </c>
      <c r="R23" s="25">
        <f>IF(AND(13&gt;$C23,13&lt;=$D23),1,0)</f>
        <v/>
      </c>
      <c r="S23" s="25">
        <f>IF(AND(14&gt;$C23,14&lt;=$D23),1,0)</f>
        <v/>
      </c>
      <c r="T23" s="25">
        <f>IF(AND(15&gt;$C23,15&lt;=$D23),1,0)</f>
        <v/>
      </c>
      <c r="U23" s="25">
        <f>IF(AND(16&gt;$C23,16&lt;=$D23),1,0)</f>
        <v/>
      </c>
    </row>
    <row r="25">
      <c r="B25" s="4" t="inlineStr">
        <is>
          <t>Mốc (milestone)</t>
        </is>
      </c>
    </row>
    <row r="26">
      <c r="A26" t="inlineStr">
        <is>
          <t>T2</t>
        </is>
      </c>
      <c r="B26" t="inlineStr">
        <is>
          <t>M1: Hiến chương, SOW được duyệt</t>
        </is>
      </c>
    </row>
    <row r="27">
      <c r="A27" t="inlineStr">
        <is>
          <t>T3</t>
        </is>
      </c>
      <c r="B27" t="inlineStr">
        <is>
          <t>M2: SRS và 20 User Story được duyệt</t>
        </is>
      </c>
    </row>
    <row r="28">
      <c r="A28" t="inlineStr">
        <is>
          <t>T5</t>
        </is>
      </c>
      <c r="B28" t="inlineStr">
        <is>
          <t>M3: Thiết kế (kiến trúc, CSDL, API, giao diện) được duyệt</t>
        </is>
      </c>
    </row>
    <row r="29">
      <c r="A29" t="inlineStr">
        <is>
          <t>T9</t>
        </is>
      </c>
      <c r="B29" t="inlineStr">
        <is>
          <t>M4: Backend và Frontend lõi chạy được (mượn trả đầu-cuối)</t>
        </is>
      </c>
    </row>
    <row r="30">
      <c r="A30" t="inlineStr">
        <is>
          <t>T12</t>
        </is>
      </c>
      <c r="B30" t="inlineStr">
        <is>
          <t>M5: AI hoàn chỉnh, đạt ngưỡng chỉ số</t>
        </is>
      </c>
    </row>
    <row r="31">
      <c r="A31" t="inlineStr">
        <is>
          <t>T14</t>
        </is>
      </c>
      <c r="B31" t="inlineStr">
        <is>
          <t>M6: Tích hợp xong, bắt đầu kiểm thử hệ thống</t>
        </is>
      </c>
    </row>
    <row r="32">
      <c r="A32" t="inlineStr">
        <is>
          <t>T15</t>
        </is>
      </c>
      <c r="B32" t="inlineStr">
        <is>
          <t>M7: Qua UAT, triển khai cloud</t>
        </is>
      </c>
    </row>
    <row r="33">
      <c r="A33" t="inlineStr">
        <is>
          <t>T16</t>
        </is>
      </c>
      <c r="B33" t="inlineStr">
        <is>
          <t>M8: Nghiệm thu và bàn giao</t>
        </is>
      </c>
    </row>
  </sheetData>
  <conditionalFormatting sqref="F5:U23">
    <cfRule type="expression" priority="1" dxfId="1">
      <formula>AND(F5=1,$E5="GĂNG")</formula>
    </cfRule>
    <cfRule type="expression" priority="2" dxfId="2">
      <formula>F5=1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zoomScale="9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7" customWidth="1" min="3" max="3"/>
    <col width="9" customWidth="1" min="4" max="4"/>
    <col width="8" customWidth="1" min="5" max="5"/>
    <col width="5" customWidth="1" min="6" max="6"/>
    <col width="5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Giờ kế hoạch theo tuần (nền của PV) và tải theo vai trò</t>
        </is>
      </c>
    </row>
    <row r="2">
      <c r="A2" s="2" t="inlineStr">
        <is>
          <t>Gói công việc trải đều trong cửa sổ [ES, EF] của hoạt động (lịch sớm). Công việc duy trì (LOE) trải đều 16 tuần, riêng 7.3 dồn vào tuần 4, 8, 12, 16.</t>
        </is>
      </c>
    </row>
    <row r="4" ht="32" customHeight="1">
      <c r="A4" s="3" t="inlineStr">
        <is>
          <t>Mã WBS</t>
        </is>
      </c>
      <c r="B4" s="3" t="inlineStr">
        <is>
          <t>Gói công việc</t>
        </is>
      </c>
      <c r="C4" s="3" t="inlineStr">
        <is>
          <t>Vai trò</t>
        </is>
      </c>
      <c r="D4" s="3" t="inlineStr">
        <is>
          <t>Hoạt động</t>
        </is>
      </c>
      <c r="E4" s="3" t="inlineStr">
        <is>
          <t>E (giờ)</t>
        </is>
      </c>
      <c r="F4" s="3" t="inlineStr">
        <is>
          <t>ES</t>
        </is>
      </c>
      <c r="G4" s="3" t="inlineStr">
        <is>
          <t>EF</t>
        </is>
      </c>
      <c r="H4" s="3" t="inlineStr">
        <is>
          <t>T1</t>
        </is>
      </c>
      <c r="I4" s="3" t="inlineStr">
        <is>
          <t>T2</t>
        </is>
      </c>
      <c r="J4" s="3" t="inlineStr">
        <is>
          <t>T3</t>
        </is>
      </c>
      <c r="K4" s="3" t="inlineStr">
        <is>
          <t>T4</t>
        </is>
      </c>
      <c r="L4" s="3" t="inlineStr">
        <is>
          <t>T5</t>
        </is>
      </c>
      <c r="M4" s="3" t="inlineStr">
        <is>
          <t>T6</t>
        </is>
      </c>
      <c r="N4" s="3" t="inlineStr">
        <is>
          <t>T7</t>
        </is>
      </c>
      <c r="O4" s="3" t="inlineStr">
        <is>
          <t>T8</t>
        </is>
      </c>
      <c r="P4" s="3" t="inlineStr">
        <is>
          <t>T9</t>
        </is>
      </c>
      <c r="Q4" s="3" t="inlineStr">
        <is>
          <t>T10</t>
        </is>
      </c>
      <c r="R4" s="3" t="inlineStr">
        <is>
          <t>T11</t>
        </is>
      </c>
      <c r="S4" s="3" t="inlineStr">
        <is>
          <t>T12</t>
        </is>
      </c>
      <c r="T4" s="3" t="inlineStr">
        <is>
          <t>T13</t>
        </is>
      </c>
      <c r="U4" s="3" t="inlineStr">
        <is>
          <t>T14</t>
        </is>
      </c>
      <c r="V4" s="3" t="inlineStr">
        <is>
          <t>T15</t>
        </is>
      </c>
      <c r="W4" s="3" t="inlineStr">
        <is>
          <t>T16</t>
        </is>
      </c>
    </row>
    <row r="5">
      <c r="A5">
        <f>WBS!A5</f>
        <v/>
      </c>
      <c r="B5">
        <f>WBS!B5</f>
        <v/>
      </c>
      <c r="C5">
        <f>WBS!D5</f>
        <v/>
      </c>
      <c r="D5">
        <f>WBS!E5</f>
        <v/>
      </c>
      <c r="E5" s="19">
        <f>WBS!J5</f>
        <v/>
      </c>
      <c r="F5">
        <f>CPM!E5</f>
        <v/>
      </c>
      <c r="G5">
        <f>CPM!F5</f>
        <v/>
      </c>
      <c r="H5" s="19">
        <f>IF(AND(1&gt;$F5,1&lt;=$G5),$E5/($G5-$F5),0)</f>
        <v/>
      </c>
      <c r="I5" s="19">
        <f>IF(AND(2&gt;$F5,2&lt;=$G5),$E5/($G5-$F5),0)</f>
        <v/>
      </c>
      <c r="J5" s="19">
        <f>IF(AND(3&gt;$F5,3&lt;=$G5),$E5/($G5-$F5),0)</f>
        <v/>
      </c>
      <c r="K5" s="19">
        <f>IF(AND(4&gt;$F5,4&lt;=$G5),$E5/($G5-$F5),0)</f>
        <v/>
      </c>
      <c r="L5" s="19">
        <f>IF(AND(5&gt;$F5,5&lt;=$G5),$E5/($G5-$F5),0)</f>
        <v/>
      </c>
      <c r="M5" s="19">
        <f>IF(AND(6&gt;$F5,6&lt;=$G5),$E5/($G5-$F5),0)</f>
        <v/>
      </c>
      <c r="N5" s="19">
        <f>IF(AND(7&gt;$F5,7&lt;=$G5),$E5/($G5-$F5),0)</f>
        <v/>
      </c>
      <c r="O5" s="19">
        <f>IF(AND(8&gt;$F5,8&lt;=$G5),$E5/($G5-$F5),0)</f>
        <v/>
      </c>
      <c r="P5" s="19">
        <f>IF(AND(9&gt;$F5,9&lt;=$G5),$E5/($G5-$F5),0)</f>
        <v/>
      </c>
      <c r="Q5" s="19">
        <f>IF(AND(10&gt;$F5,10&lt;=$G5),$E5/($G5-$F5),0)</f>
        <v/>
      </c>
      <c r="R5" s="19">
        <f>IF(AND(11&gt;$F5,11&lt;=$G5),$E5/($G5-$F5),0)</f>
        <v/>
      </c>
      <c r="S5" s="19">
        <f>IF(AND(12&gt;$F5,12&lt;=$G5),$E5/($G5-$F5),0)</f>
        <v/>
      </c>
      <c r="T5" s="19">
        <f>IF(AND(13&gt;$F5,13&lt;=$G5),$E5/($G5-$F5),0)</f>
        <v/>
      </c>
      <c r="U5" s="19">
        <f>IF(AND(14&gt;$F5,14&lt;=$G5),$E5/($G5-$F5),0)</f>
        <v/>
      </c>
      <c r="V5" s="19">
        <f>IF(AND(15&gt;$F5,15&lt;=$G5),$E5/($G5-$F5),0)</f>
        <v/>
      </c>
      <c r="W5" s="19">
        <f>IF(AND(16&gt;$F5,16&lt;=$G5),$E5/($G5-$F5),0)</f>
        <v/>
      </c>
    </row>
    <row r="6">
      <c r="A6">
        <f>WBS!A6</f>
        <v/>
      </c>
      <c r="B6">
        <f>WBS!B6</f>
        <v/>
      </c>
      <c r="C6">
        <f>WBS!D6</f>
        <v/>
      </c>
      <c r="D6">
        <f>WBS!E6</f>
        <v/>
      </c>
      <c r="E6" s="19">
        <f>WBS!J6</f>
        <v/>
      </c>
      <c r="F6">
        <f>CPM!E5</f>
        <v/>
      </c>
      <c r="G6">
        <f>CPM!F5</f>
        <v/>
      </c>
      <c r="H6" s="19">
        <f>IF(AND(1&gt;$F6,1&lt;=$G6),$E6/($G6-$F6),0)</f>
        <v/>
      </c>
      <c r="I6" s="19">
        <f>IF(AND(2&gt;$F6,2&lt;=$G6),$E6/($G6-$F6),0)</f>
        <v/>
      </c>
      <c r="J6" s="19">
        <f>IF(AND(3&gt;$F6,3&lt;=$G6),$E6/($G6-$F6),0)</f>
        <v/>
      </c>
      <c r="K6" s="19">
        <f>IF(AND(4&gt;$F6,4&lt;=$G6),$E6/($G6-$F6),0)</f>
        <v/>
      </c>
      <c r="L6" s="19">
        <f>IF(AND(5&gt;$F6,5&lt;=$G6),$E6/($G6-$F6),0)</f>
        <v/>
      </c>
      <c r="M6" s="19">
        <f>IF(AND(6&gt;$F6,6&lt;=$G6),$E6/($G6-$F6),0)</f>
        <v/>
      </c>
      <c r="N6" s="19">
        <f>IF(AND(7&gt;$F6,7&lt;=$G6),$E6/($G6-$F6),0)</f>
        <v/>
      </c>
      <c r="O6" s="19">
        <f>IF(AND(8&gt;$F6,8&lt;=$G6),$E6/($G6-$F6),0)</f>
        <v/>
      </c>
      <c r="P6" s="19">
        <f>IF(AND(9&gt;$F6,9&lt;=$G6),$E6/($G6-$F6),0)</f>
        <v/>
      </c>
      <c r="Q6" s="19">
        <f>IF(AND(10&gt;$F6,10&lt;=$G6),$E6/($G6-$F6),0)</f>
        <v/>
      </c>
      <c r="R6" s="19">
        <f>IF(AND(11&gt;$F6,11&lt;=$G6),$E6/($G6-$F6),0)</f>
        <v/>
      </c>
      <c r="S6" s="19">
        <f>IF(AND(12&gt;$F6,12&lt;=$G6),$E6/($G6-$F6),0)</f>
        <v/>
      </c>
      <c r="T6" s="19">
        <f>IF(AND(13&gt;$F6,13&lt;=$G6),$E6/($G6-$F6),0)</f>
        <v/>
      </c>
      <c r="U6" s="19">
        <f>IF(AND(14&gt;$F6,14&lt;=$G6),$E6/($G6-$F6),0)</f>
        <v/>
      </c>
      <c r="V6" s="19">
        <f>IF(AND(15&gt;$F6,15&lt;=$G6),$E6/($G6-$F6),0)</f>
        <v/>
      </c>
      <c r="W6" s="19">
        <f>IF(AND(16&gt;$F6,16&lt;=$G6),$E6/($G6-$F6),0)</f>
        <v/>
      </c>
    </row>
    <row r="7">
      <c r="A7">
        <f>WBS!A7</f>
        <v/>
      </c>
      <c r="B7">
        <f>WBS!B7</f>
        <v/>
      </c>
      <c r="C7">
        <f>WBS!D7</f>
        <v/>
      </c>
      <c r="D7">
        <f>WBS!E7</f>
        <v/>
      </c>
      <c r="E7" s="19">
        <f>WBS!J7</f>
        <v/>
      </c>
      <c r="F7">
        <f>CPM!E7</f>
        <v/>
      </c>
      <c r="G7">
        <f>CPM!F7</f>
        <v/>
      </c>
      <c r="H7" s="19">
        <f>IF(AND(1&gt;$F7,1&lt;=$G7),$E7/($G7-$F7),0)</f>
        <v/>
      </c>
      <c r="I7" s="19">
        <f>IF(AND(2&gt;$F7,2&lt;=$G7),$E7/($G7-$F7),0)</f>
        <v/>
      </c>
      <c r="J7" s="19">
        <f>IF(AND(3&gt;$F7,3&lt;=$G7),$E7/($G7-$F7),0)</f>
        <v/>
      </c>
      <c r="K7" s="19">
        <f>IF(AND(4&gt;$F7,4&lt;=$G7),$E7/($G7-$F7),0)</f>
        <v/>
      </c>
      <c r="L7" s="19">
        <f>IF(AND(5&gt;$F7,5&lt;=$G7),$E7/($G7-$F7),0)</f>
        <v/>
      </c>
      <c r="M7" s="19">
        <f>IF(AND(6&gt;$F7,6&lt;=$G7),$E7/($G7-$F7),0)</f>
        <v/>
      </c>
      <c r="N7" s="19">
        <f>IF(AND(7&gt;$F7,7&lt;=$G7),$E7/($G7-$F7),0)</f>
        <v/>
      </c>
      <c r="O7" s="19">
        <f>IF(AND(8&gt;$F7,8&lt;=$G7),$E7/($G7-$F7),0)</f>
        <v/>
      </c>
      <c r="P7" s="19">
        <f>IF(AND(9&gt;$F7,9&lt;=$G7),$E7/($G7-$F7),0)</f>
        <v/>
      </c>
      <c r="Q7" s="19">
        <f>IF(AND(10&gt;$F7,10&lt;=$G7),$E7/($G7-$F7),0)</f>
        <v/>
      </c>
      <c r="R7" s="19">
        <f>IF(AND(11&gt;$F7,11&lt;=$G7),$E7/($G7-$F7),0)</f>
        <v/>
      </c>
      <c r="S7" s="19">
        <f>IF(AND(12&gt;$F7,12&lt;=$G7),$E7/($G7-$F7),0)</f>
        <v/>
      </c>
      <c r="T7" s="19">
        <f>IF(AND(13&gt;$F7,13&lt;=$G7),$E7/($G7-$F7),0)</f>
        <v/>
      </c>
      <c r="U7" s="19">
        <f>IF(AND(14&gt;$F7,14&lt;=$G7),$E7/($G7-$F7),0)</f>
        <v/>
      </c>
      <c r="V7" s="19">
        <f>IF(AND(15&gt;$F7,15&lt;=$G7),$E7/($G7-$F7),0)</f>
        <v/>
      </c>
      <c r="W7" s="19">
        <f>IF(AND(16&gt;$F7,16&lt;=$G7),$E7/($G7-$F7),0)</f>
        <v/>
      </c>
    </row>
    <row r="8">
      <c r="A8">
        <f>WBS!A8</f>
        <v/>
      </c>
      <c r="B8">
        <f>WBS!B8</f>
        <v/>
      </c>
      <c r="C8">
        <f>WBS!D8</f>
        <v/>
      </c>
      <c r="D8">
        <f>WBS!E8</f>
        <v/>
      </c>
      <c r="E8" s="19">
        <f>WBS!J8</f>
        <v/>
      </c>
      <c r="F8">
        <f>CPM!E6</f>
        <v/>
      </c>
      <c r="G8">
        <f>CPM!F6</f>
        <v/>
      </c>
      <c r="H8" s="19">
        <f>IF(AND(1&gt;$F8,1&lt;=$G8),$E8/($G8-$F8),0)</f>
        <v/>
      </c>
      <c r="I8" s="19">
        <f>IF(AND(2&gt;$F8,2&lt;=$G8),$E8/($G8-$F8),0)</f>
        <v/>
      </c>
      <c r="J8" s="19">
        <f>IF(AND(3&gt;$F8,3&lt;=$G8),$E8/($G8-$F8),0)</f>
        <v/>
      </c>
      <c r="K8" s="19">
        <f>IF(AND(4&gt;$F8,4&lt;=$G8),$E8/($G8-$F8),0)</f>
        <v/>
      </c>
      <c r="L8" s="19">
        <f>IF(AND(5&gt;$F8,5&lt;=$G8),$E8/($G8-$F8),0)</f>
        <v/>
      </c>
      <c r="M8" s="19">
        <f>IF(AND(6&gt;$F8,6&lt;=$G8),$E8/($G8-$F8),0)</f>
        <v/>
      </c>
      <c r="N8" s="19">
        <f>IF(AND(7&gt;$F8,7&lt;=$G8),$E8/($G8-$F8),0)</f>
        <v/>
      </c>
      <c r="O8" s="19">
        <f>IF(AND(8&gt;$F8,8&lt;=$G8),$E8/($G8-$F8),0)</f>
        <v/>
      </c>
      <c r="P8" s="19">
        <f>IF(AND(9&gt;$F8,9&lt;=$G8),$E8/($G8-$F8),0)</f>
        <v/>
      </c>
      <c r="Q8" s="19">
        <f>IF(AND(10&gt;$F8,10&lt;=$G8),$E8/($G8-$F8),0)</f>
        <v/>
      </c>
      <c r="R8" s="19">
        <f>IF(AND(11&gt;$F8,11&lt;=$G8),$E8/($G8-$F8),0)</f>
        <v/>
      </c>
      <c r="S8" s="19">
        <f>IF(AND(12&gt;$F8,12&lt;=$G8),$E8/($G8-$F8),0)</f>
        <v/>
      </c>
      <c r="T8" s="19">
        <f>IF(AND(13&gt;$F8,13&lt;=$G8),$E8/($G8-$F8),0)</f>
        <v/>
      </c>
      <c r="U8" s="19">
        <f>IF(AND(14&gt;$F8,14&lt;=$G8),$E8/($G8-$F8),0)</f>
        <v/>
      </c>
      <c r="V8" s="19">
        <f>IF(AND(15&gt;$F8,15&lt;=$G8),$E8/($G8-$F8),0)</f>
        <v/>
      </c>
      <c r="W8" s="19">
        <f>IF(AND(16&gt;$F8,16&lt;=$G8),$E8/($G8-$F8),0)</f>
        <v/>
      </c>
    </row>
    <row r="9">
      <c r="A9">
        <f>WBS!A9</f>
        <v/>
      </c>
      <c r="B9">
        <f>WBS!B9</f>
        <v/>
      </c>
      <c r="C9">
        <f>WBS!D9</f>
        <v/>
      </c>
      <c r="D9">
        <f>WBS!E9</f>
        <v/>
      </c>
      <c r="E9" s="19">
        <f>WBS!J9</f>
        <v/>
      </c>
      <c r="F9">
        <f>CPM!E8</f>
        <v/>
      </c>
      <c r="G9">
        <f>CPM!F8</f>
        <v/>
      </c>
      <c r="H9" s="19">
        <f>IF(AND(1&gt;$F9,1&lt;=$G9),$E9/($G9-$F9),0)</f>
        <v/>
      </c>
      <c r="I9" s="19">
        <f>IF(AND(2&gt;$F9,2&lt;=$G9),$E9/($G9-$F9),0)</f>
        <v/>
      </c>
      <c r="J9" s="19">
        <f>IF(AND(3&gt;$F9,3&lt;=$G9),$E9/($G9-$F9),0)</f>
        <v/>
      </c>
      <c r="K9" s="19">
        <f>IF(AND(4&gt;$F9,4&lt;=$G9),$E9/($G9-$F9),0)</f>
        <v/>
      </c>
      <c r="L9" s="19">
        <f>IF(AND(5&gt;$F9,5&lt;=$G9),$E9/($G9-$F9),0)</f>
        <v/>
      </c>
      <c r="M9" s="19">
        <f>IF(AND(6&gt;$F9,6&lt;=$G9),$E9/($G9-$F9),0)</f>
        <v/>
      </c>
      <c r="N9" s="19">
        <f>IF(AND(7&gt;$F9,7&lt;=$G9),$E9/($G9-$F9),0)</f>
        <v/>
      </c>
      <c r="O9" s="19">
        <f>IF(AND(8&gt;$F9,8&lt;=$G9),$E9/($G9-$F9),0)</f>
        <v/>
      </c>
      <c r="P9" s="19">
        <f>IF(AND(9&gt;$F9,9&lt;=$G9),$E9/($G9-$F9),0)</f>
        <v/>
      </c>
      <c r="Q9" s="19">
        <f>IF(AND(10&gt;$F9,10&lt;=$G9),$E9/($G9-$F9),0)</f>
        <v/>
      </c>
      <c r="R9" s="19">
        <f>IF(AND(11&gt;$F9,11&lt;=$G9),$E9/($G9-$F9),0)</f>
        <v/>
      </c>
      <c r="S9" s="19">
        <f>IF(AND(12&gt;$F9,12&lt;=$G9),$E9/($G9-$F9),0)</f>
        <v/>
      </c>
      <c r="T9" s="19">
        <f>IF(AND(13&gt;$F9,13&lt;=$G9),$E9/($G9-$F9),0)</f>
        <v/>
      </c>
      <c r="U9" s="19">
        <f>IF(AND(14&gt;$F9,14&lt;=$G9),$E9/($G9-$F9),0)</f>
        <v/>
      </c>
      <c r="V9" s="19">
        <f>IF(AND(15&gt;$F9,15&lt;=$G9),$E9/($G9-$F9),0)</f>
        <v/>
      </c>
      <c r="W9" s="19">
        <f>IF(AND(16&gt;$F9,16&lt;=$G9),$E9/($G9-$F9),0)</f>
        <v/>
      </c>
    </row>
    <row r="10">
      <c r="A10">
        <f>WBS!A10</f>
        <v/>
      </c>
      <c r="B10">
        <f>WBS!B10</f>
        <v/>
      </c>
      <c r="C10">
        <f>WBS!D10</f>
        <v/>
      </c>
      <c r="D10">
        <f>WBS!E10</f>
        <v/>
      </c>
      <c r="E10" s="19">
        <f>WBS!J10</f>
        <v/>
      </c>
      <c r="F10">
        <f>CPM!E8</f>
        <v/>
      </c>
      <c r="G10">
        <f>CPM!F8</f>
        <v/>
      </c>
      <c r="H10" s="19">
        <f>IF(AND(1&gt;$F10,1&lt;=$G10),$E10/($G10-$F10),0)</f>
        <v/>
      </c>
      <c r="I10" s="19">
        <f>IF(AND(2&gt;$F10,2&lt;=$G10),$E10/($G10-$F10),0)</f>
        <v/>
      </c>
      <c r="J10" s="19">
        <f>IF(AND(3&gt;$F10,3&lt;=$G10),$E10/($G10-$F10),0)</f>
        <v/>
      </c>
      <c r="K10" s="19">
        <f>IF(AND(4&gt;$F10,4&lt;=$G10),$E10/($G10-$F10),0)</f>
        <v/>
      </c>
      <c r="L10" s="19">
        <f>IF(AND(5&gt;$F10,5&lt;=$G10),$E10/($G10-$F10),0)</f>
        <v/>
      </c>
      <c r="M10" s="19">
        <f>IF(AND(6&gt;$F10,6&lt;=$G10),$E10/($G10-$F10),0)</f>
        <v/>
      </c>
      <c r="N10" s="19">
        <f>IF(AND(7&gt;$F10,7&lt;=$G10),$E10/($G10-$F10),0)</f>
        <v/>
      </c>
      <c r="O10" s="19">
        <f>IF(AND(8&gt;$F10,8&lt;=$G10),$E10/($G10-$F10),0)</f>
        <v/>
      </c>
      <c r="P10" s="19">
        <f>IF(AND(9&gt;$F10,9&lt;=$G10),$E10/($G10-$F10),0)</f>
        <v/>
      </c>
      <c r="Q10" s="19">
        <f>IF(AND(10&gt;$F10,10&lt;=$G10),$E10/($G10-$F10),0)</f>
        <v/>
      </c>
      <c r="R10" s="19">
        <f>IF(AND(11&gt;$F10,11&lt;=$G10),$E10/($G10-$F10),0)</f>
        <v/>
      </c>
      <c r="S10" s="19">
        <f>IF(AND(12&gt;$F10,12&lt;=$G10),$E10/($G10-$F10),0)</f>
        <v/>
      </c>
      <c r="T10" s="19">
        <f>IF(AND(13&gt;$F10,13&lt;=$G10),$E10/($G10-$F10),0)</f>
        <v/>
      </c>
      <c r="U10" s="19">
        <f>IF(AND(14&gt;$F10,14&lt;=$G10),$E10/($G10-$F10),0)</f>
        <v/>
      </c>
      <c r="V10" s="19">
        <f>IF(AND(15&gt;$F10,15&lt;=$G10),$E10/($G10-$F10),0)</f>
        <v/>
      </c>
      <c r="W10" s="19">
        <f>IF(AND(16&gt;$F10,16&lt;=$G10),$E10/($G10-$F10),0)</f>
        <v/>
      </c>
    </row>
    <row r="11">
      <c r="A11">
        <f>WBS!A11</f>
        <v/>
      </c>
      <c r="B11">
        <f>WBS!B11</f>
        <v/>
      </c>
      <c r="C11">
        <f>WBS!D11</f>
        <v/>
      </c>
      <c r="D11">
        <f>WBS!E11</f>
        <v/>
      </c>
      <c r="E11" s="19">
        <f>WBS!J11</f>
        <v/>
      </c>
      <c r="F11">
        <f>CPM!E9</f>
        <v/>
      </c>
      <c r="G11">
        <f>CPM!F9</f>
        <v/>
      </c>
      <c r="H11" s="19">
        <f>IF(AND(1&gt;$F11,1&lt;=$G11),$E11/($G11-$F11),0)</f>
        <v/>
      </c>
      <c r="I11" s="19">
        <f>IF(AND(2&gt;$F11,2&lt;=$G11),$E11/($G11-$F11),0)</f>
        <v/>
      </c>
      <c r="J11" s="19">
        <f>IF(AND(3&gt;$F11,3&lt;=$G11),$E11/($G11-$F11),0)</f>
        <v/>
      </c>
      <c r="K11" s="19">
        <f>IF(AND(4&gt;$F11,4&lt;=$G11),$E11/($G11-$F11),0)</f>
        <v/>
      </c>
      <c r="L11" s="19">
        <f>IF(AND(5&gt;$F11,5&lt;=$G11),$E11/($G11-$F11),0)</f>
        <v/>
      </c>
      <c r="M11" s="19">
        <f>IF(AND(6&gt;$F11,6&lt;=$G11),$E11/($G11-$F11),0)</f>
        <v/>
      </c>
      <c r="N11" s="19">
        <f>IF(AND(7&gt;$F11,7&lt;=$G11),$E11/($G11-$F11),0)</f>
        <v/>
      </c>
      <c r="O11" s="19">
        <f>IF(AND(8&gt;$F11,8&lt;=$G11),$E11/($G11-$F11),0)</f>
        <v/>
      </c>
      <c r="P11" s="19">
        <f>IF(AND(9&gt;$F11,9&lt;=$G11),$E11/($G11-$F11),0)</f>
        <v/>
      </c>
      <c r="Q11" s="19">
        <f>IF(AND(10&gt;$F11,10&lt;=$G11),$E11/($G11-$F11),0)</f>
        <v/>
      </c>
      <c r="R11" s="19">
        <f>IF(AND(11&gt;$F11,11&lt;=$G11),$E11/($G11-$F11),0)</f>
        <v/>
      </c>
      <c r="S11" s="19">
        <f>IF(AND(12&gt;$F11,12&lt;=$G11),$E11/($G11-$F11),0)</f>
        <v/>
      </c>
      <c r="T11" s="19">
        <f>IF(AND(13&gt;$F11,13&lt;=$G11),$E11/($G11-$F11),0)</f>
        <v/>
      </c>
      <c r="U11" s="19">
        <f>IF(AND(14&gt;$F11,14&lt;=$G11),$E11/($G11-$F11),0)</f>
        <v/>
      </c>
      <c r="V11" s="19">
        <f>IF(AND(15&gt;$F11,15&lt;=$G11),$E11/($G11-$F11),0)</f>
        <v/>
      </c>
      <c r="W11" s="19">
        <f>IF(AND(16&gt;$F11,16&lt;=$G11),$E11/($G11-$F11),0)</f>
        <v/>
      </c>
    </row>
    <row r="12">
      <c r="A12">
        <f>WBS!A12</f>
        <v/>
      </c>
      <c r="B12">
        <f>WBS!B12</f>
        <v/>
      </c>
      <c r="C12">
        <f>WBS!D12</f>
        <v/>
      </c>
      <c r="D12">
        <f>WBS!E12</f>
        <v/>
      </c>
      <c r="E12" s="19">
        <f>WBS!J12</f>
        <v/>
      </c>
      <c r="F12">
        <f>CPM!E9</f>
        <v/>
      </c>
      <c r="G12">
        <f>CPM!F9</f>
        <v/>
      </c>
      <c r="H12" s="19">
        <f>IF(AND(1&gt;$F12,1&lt;=$G12),$E12/($G12-$F12),0)</f>
        <v/>
      </c>
      <c r="I12" s="19">
        <f>IF(AND(2&gt;$F12,2&lt;=$G12),$E12/($G12-$F12),0)</f>
        <v/>
      </c>
      <c r="J12" s="19">
        <f>IF(AND(3&gt;$F12,3&lt;=$G12),$E12/($G12-$F12),0)</f>
        <v/>
      </c>
      <c r="K12" s="19">
        <f>IF(AND(4&gt;$F12,4&lt;=$G12),$E12/($G12-$F12),0)</f>
        <v/>
      </c>
      <c r="L12" s="19">
        <f>IF(AND(5&gt;$F12,5&lt;=$G12),$E12/($G12-$F12),0)</f>
        <v/>
      </c>
      <c r="M12" s="19">
        <f>IF(AND(6&gt;$F12,6&lt;=$G12),$E12/($G12-$F12),0)</f>
        <v/>
      </c>
      <c r="N12" s="19">
        <f>IF(AND(7&gt;$F12,7&lt;=$G12),$E12/($G12-$F12),0)</f>
        <v/>
      </c>
      <c r="O12" s="19">
        <f>IF(AND(8&gt;$F12,8&lt;=$G12),$E12/($G12-$F12),0)</f>
        <v/>
      </c>
      <c r="P12" s="19">
        <f>IF(AND(9&gt;$F12,9&lt;=$G12),$E12/($G12-$F12),0)</f>
        <v/>
      </c>
      <c r="Q12" s="19">
        <f>IF(AND(10&gt;$F12,10&lt;=$G12),$E12/($G12-$F12),0)</f>
        <v/>
      </c>
      <c r="R12" s="19">
        <f>IF(AND(11&gt;$F12,11&lt;=$G12),$E12/($G12-$F12),0)</f>
        <v/>
      </c>
      <c r="S12" s="19">
        <f>IF(AND(12&gt;$F12,12&lt;=$G12),$E12/($G12-$F12),0)</f>
        <v/>
      </c>
      <c r="T12" s="19">
        <f>IF(AND(13&gt;$F12,13&lt;=$G12),$E12/($G12-$F12),0)</f>
        <v/>
      </c>
      <c r="U12" s="19">
        <f>IF(AND(14&gt;$F12,14&lt;=$G12),$E12/($G12-$F12),0)</f>
        <v/>
      </c>
      <c r="V12" s="19">
        <f>IF(AND(15&gt;$F12,15&lt;=$G12),$E12/($G12-$F12),0)</f>
        <v/>
      </c>
      <c r="W12" s="19">
        <f>IF(AND(16&gt;$F12,16&lt;=$G12),$E12/($G12-$F12),0)</f>
        <v/>
      </c>
    </row>
    <row r="13">
      <c r="A13">
        <f>WBS!A13</f>
        <v/>
      </c>
      <c r="B13">
        <f>WBS!B13</f>
        <v/>
      </c>
      <c r="C13">
        <f>WBS!D13</f>
        <v/>
      </c>
      <c r="D13">
        <f>WBS!E13</f>
        <v/>
      </c>
      <c r="E13" s="19">
        <f>WBS!J13</f>
        <v/>
      </c>
      <c r="F13">
        <f>CPM!E10</f>
        <v/>
      </c>
      <c r="G13">
        <f>CPM!F10</f>
        <v/>
      </c>
      <c r="H13" s="19">
        <f>IF(AND(1&gt;$F13,1&lt;=$G13),$E13/($G13-$F13),0)</f>
        <v/>
      </c>
      <c r="I13" s="19">
        <f>IF(AND(2&gt;$F13,2&lt;=$G13),$E13/($G13-$F13),0)</f>
        <v/>
      </c>
      <c r="J13" s="19">
        <f>IF(AND(3&gt;$F13,3&lt;=$G13),$E13/($G13-$F13),0)</f>
        <v/>
      </c>
      <c r="K13" s="19">
        <f>IF(AND(4&gt;$F13,4&lt;=$G13),$E13/($G13-$F13),0)</f>
        <v/>
      </c>
      <c r="L13" s="19">
        <f>IF(AND(5&gt;$F13,5&lt;=$G13),$E13/($G13-$F13),0)</f>
        <v/>
      </c>
      <c r="M13" s="19">
        <f>IF(AND(6&gt;$F13,6&lt;=$G13),$E13/($G13-$F13),0)</f>
        <v/>
      </c>
      <c r="N13" s="19">
        <f>IF(AND(7&gt;$F13,7&lt;=$G13),$E13/($G13-$F13),0)</f>
        <v/>
      </c>
      <c r="O13" s="19">
        <f>IF(AND(8&gt;$F13,8&lt;=$G13),$E13/($G13-$F13),0)</f>
        <v/>
      </c>
      <c r="P13" s="19">
        <f>IF(AND(9&gt;$F13,9&lt;=$G13),$E13/($G13-$F13),0)</f>
        <v/>
      </c>
      <c r="Q13" s="19">
        <f>IF(AND(10&gt;$F13,10&lt;=$G13),$E13/($G13-$F13),0)</f>
        <v/>
      </c>
      <c r="R13" s="19">
        <f>IF(AND(11&gt;$F13,11&lt;=$G13),$E13/($G13-$F13),0)</f>
        <v/>
      </c>
      <c r="S13" s="19">
        <f>IF(AND(12&gt;$F13,12&lt;=$G13),$E13/($G13-$F13),0)</f>
        <v/>
      </c>
      <c r="T13" s="19">
        <f>IF(AND(13&gt;$F13,13&lt;=$G13),$E13/($G13-$F13),0)</f>
        <v/>
      </c>
      <c r="U13" s="19">
        <f>IF(AND(14&gt;$F13,14&lt;=$G13),$E13/($G13-$F13),0)</f>
        <v/>
      </c>
      <c r="V13" s="19">
        <f>IF(AND(15&gt;$F13,15&lt;=$G13),$E13/($G13-$F13),0)</f>
        <v/>
      </c>
      <c r="W13" s="19">
        <f>IF(AND(16&gt;$F13,16&lt;=$G13),$E13/($G13-$F13),0)</f>
        <v/>
      </c>
    </row>
    <row r="14">
      <c r="A14">
        <f>WBS!A14</f>
        <v/>
      </c>
      <c r="B14">
        <f>WBS!B14</f>
        <v/>
      </c>
      <c r="C14">
        <f>WBS!D14</f>
        <v/>
      </c>
      <c r="D14">
        <f>WBS!E14</f>
        <v/>
      </c>
      <c r="E14" s="19">
        <f>WBS!J14</f>
        <v/>
      </c>
      <c r="F14">
        <f>CPM!E10</f>
        <v/>
      </c>
      <c r="G14">
        <f>CPM!F10</f>
        <v/>
      </c>
      <c r="H14" s="19">
        <f>IF(AND(1&gt;$F14,1&lt;=$G14),$E14/($G14-$F14),0)</f>
        <v/>
      </c>
      <c r="I14" s="19">
        <f>IF(AND(2&gt;$F14,2&lt;=$G14),$E14/($G14-$F14),0)</f>
        <v/>
      </c>
      <c r="J14" s="19">
        <f>IF(AND(3&gt;$F14,3&lt;=$G14),$E14/($G14-$F14),0)</f>
        <v/>
      </c>
      <c r="K14" s="19">
        <f>IF(AND(4&gt;$F14,4&lt;=$G14),$E14/($G14-$F14),0)</f>
        <v/>
      </c>
      <c r="L14" s="19">
        <f>IF(AND(5&gt;$F14,5&lt;=$G14),$E14/($G14-$F14),0)</f>
        <v/>
      </c>
      <c r="M14" s="19">
        <f>IF(AND(6&gt;$F14,6&lt;=$G14),$E14/($G14-$F14),0)</f>
        <v/>
      </c>
      <c r="N14" s="19">
        <f>IF(AND(7&gt;$F14,7&lt;=$G14),$E14/($G14-$F14),0)</f>
        <v/>
      </c>
      <c r="O14" s="19">
        <f>IF(AND(8&gt;$F14,8&lt;=$G14),$E14/($G14-$F14),0)</f>
        <v/>
      </c>
      <c r="P14" s="19">
        <f>IF(AND(9&gt;$F14,9&lt;=$G14),$E14/($G14-$F14),0)</f>
        <v/>
      </c>
      <c r="Q14" s="19">
        <f>IF(AND(10&gt;$F14,10&lt;=$G14),$E14/($G14-$F14),0)</f>
        <v/>
      </c>
      <c r="R14" s="19">
        <f>IF(AND(11&gt;$F14,11&lt;=$G14),$E14/($G14-$F14),0)</f>
        <v/>
      </c>
      <c r="S14" s="19">
        <f>IF(AND(12&gt;$F14,12&lt;=$G14),$E14/($G14-$F14),0)</f>
        <v/>
      </c>
      <c r="T14" s="19">
        <f>IF(AND(13&gt;$F14,13&lt;=$G14),$E14/($G14-$F14),0)</f>
        <v/>
      </c>
      <c r="U14" s="19">
        <f>IF(AND(14&gt;$F14,14&lt;=$G14),$E14/($G14-$F14),0)</f>
        <v/>
      </c>
      <c r="V14" s="19">
        <f>IF(AND(15&gt;$F14,15&lt;=$G14),$E14/($G14-$F14),0)</f>
        <v/>
      </c>
      <c r="W14" s="19">
        <f>IF(AND(16&gt;$F14,16&lt;=$G14),$E14/($G14-$F14),0)</f>
        <v/>
      </c>
    </row>
    <row r="15">
      <c r="A15">
        <f>WBS!A15</f>
        <v/>
      </c>
      <c r="B15">
        <f>WBS!B15</f>
        <v/>
      </c>
      <c r="C15">
        <f>WBS!D15</f>
        <v/>
      </c>
      <c r="D15">
        <f>WBS!E15</f>
        <v/>
      </c>
      <c r="E15" s="19">
        <f>WBS!J15</f>
        <v/>
      </c>
      <c r="F15">
        <f>CPM!E11</f>
        <v/>
      </c>
      <c r="G15">
        <f>CPM!F11</f>
        <v/>
      </c>
      <c r="H15" s="19">
        <f>IF(AND(1&gt;$F15,1&lt;=$G15),$E15/($G15-$F15),0)</f>
        <v/>
      </c>
      <c r="I15" s="19">
        <f>IF(AND(2&gt;$F15,2&lt;=$G15),$E15/($G15-$F15),0)</f>
        <v/>
      </c>
      <c r="J15" s="19">
        <f>IF(AND(3&gt;$F15,3&lt;=$G15),$E15/($G15-$F15),0)</f>
        <v/>
      </c>
      <c r="K15" s="19">
        <f>IF(AND(4&gt;$F15,4&lt;=$G15),$E15/($G15-$F15),0)</f>
        <v/>
      </c>
      <c r="L15" s="19">
        <f>IF(AND(5&gt;$F15,5&lt;=$G15),$E15/($G15-$F15),0)</f>
        <v/>
      </c>
      <c r="M15" s="19">
        <f>IF(AND(6&gt;$F15,6&lt;=$G15),$E15/($G15-$F15),0)</f>
        <v/>
      </c>
      <c r="N15" s="19">
        <f>IF(AND(7&gt;$F15,7&lt;=$G15),$E15/($G15-$F15),0)</f>
        <v/>
      </c>
      <c r="O15" s="19">
        <f>IF(AND(8&gt;$F15,8&lt;=$G15),$E15/($G15-$F15),0)</f>
        <v/>
      </c>
      <c r="P15" s="19">
        <f>IF(AND(9&gt;$F15,9&lt;=$G15),$E15/($G15-$F15),0)</f>
        <v/>
      </c>
      <c r="Q15" s="19">
        <f>IF(AND(10&gt;$F15,10&lt;=$G15),$E15/($G15-$F15),0)</f>
        <v/>
      </c>
      <c r="R15" s="19">
        <f>IF(AND(11&gt;$F15,11&lt;=$G15),$E15/($G15-$F15),0)</f>
        <v/>
      </c>
      <c r="S15" s="19">
        <f>IF(AND(12&gt;$F15,12&lt;=$G15),$E15/($G15-$F15),0)</f>
        <v/>
      </c>
      <c r="T15" s="19">
        <f>IF(AND(13&gt;$F15,13&lt;=$G15),$E15/($G15-$F15),0)</f>
        <v/>
      </c>
      <c r="U15" s="19">
        <f>IF(AND(14&gt;$F15,14&lt;=$G15),$E15/($G15-$F15),0)</f>
        <v/>
      </c>
      <c r="V15" s="19">
        <f>IF(AND(15&gt;$F15,15&lt;=$G15),$E15/($G15-$F15),0)</f>
        <v/>
      </c>
      <c r="W15" s="19">
        <f>IF(AND(16&gt;$F15,16&lt;=$G15),$E15/($G15-$F15),0)</f>
        <v/>
      </c>
    </row>
    <row r="16">
      <c r="A16">
        <f>WBS!A16</f>
        <v/>
      </c>
      <c r="B16">
        <f>WBS!B16</f>
        <v/>
      </c>
      <c r="C16">
        <f>WBS!D16</f>
        <v/>
      </c>
      <c r="D16">
        <f>WBS!E16</f>
        <v/>
      </c>
      <c r="E16" s="19">
        <f>WBS!J16</f>
        <v/>
      </c>
      <c r="F16">
        <f>CPM!E12</f>
        <v/>
      </c>
      <c r="G16">
        <f>CPM!F12</f>
        <v/>
      </c>
      <c r="H16" s="19">
        <f>IF(AND(1&gt;$F16,1&lt;=$G16),$E16/($G16-$F16),0)</f>
        <v/>
      </c>
      <c r="I16" s="19">
        <f>IF(AND(2&gt;$F16,2&lt;=$G16),$E16/($G16-$F16),0)</f>
        <v/>
      </c>
      <c r="J16" s="19">
        <f>IF(AND(3&gt;$F16,3&lt;=$G16),$E16/($G16-$F16),0)</f>
        <v/>
      </c>
      <c r="K16" s="19">
        <f>IF(AND(4&gt;$F16,4&lt;=$G16),$E16/($G16-$F16),0)</f>
        <v/>
      </c>
      <c r="L16" s="19">
        <f>IF(AND(5&gt;$F16,5&lt;=$G16),$E16/($G16-$F16),0)</f>
        <v/>
      </c>
      <c r="M16" s="19">
        <f>IF(AND(6&gt;$F16,6&lt;=$G16),$E16/($G16-$F16),0)</f>
        <v/>
      </c>
      <c r="N16" s="19">
        <f>IF(AND(7&gt;$F16,7&lt;=$G16),$E16/($G16-$F16),0)</f>
        <v/>
      </c>
      <c r="O16" s="19">
        <f>IF(AND(8&gt;$F16,8&lt;=$G16),$E16/($G16-$F16),0)</f>
        <v/>
      </c>
      <c r="P16" s="19">
        <f>IF(AND(9&gt;$F16,9&lt;=$G16),$E16/($G16-$F16),0)</f>
        <v/>
      </c>
      <c r="Q16" s="19">
        <f>IF(AND(10&gt;$F16,10&lt;=$G16),$E16/($G16-$F16),0)</f>
        <v/>
      </c>
      <c r="R16" s="19">
        <f>IF(AND(11&gt;$F16,11&lt;=$G16),$E16/($G16-$F16),0)</f>
        <v/>
      </c>
      <c r="S16" s="19">
        <f>IF(AND(12&gt;$F16,12&lt;=$G16),$E16/($G16-$F16),0)</f>
        <v/>
      </c>
      <c r="T16" s="19">
        <f>IF(AND(13&gt;$F16,13&lt;=$G16),$E16/($G16-$F16),0)</f>
        <v/>
      </c>
      <c r="U16" s="19">
        <f>IF(AND(14&gt;$F16,14&lt;=$G16),$E16/($G16-$F16),0)</f>
        <v/>
      </c>
      <c r="V16" s="19">
        <f>IF(AND(15&gt;$F16,15&lt;=$G16),$E16/($G16-$F16),0)</f>
        <v/>
      </c>
      <c r="W16" s="19">
        <f>IF(AND(16&gt;$F16,16&lt;=$G16),$E16/($G16-$F16),0)</f>
        <v/>
      </c>
    </row>
    <row r="17">
      <c r="A17">
        <f>WBS!A17</f>
        <v/>
      </c>
      <c r="B17">
        <f>WBS!B17</f>
        <v/>
      </c>
      <c r="C17">
        <f>WBS!D17</f>
        <v/>
      </c>
      <c r="D17">
        <f>WBS!E17</f>
        <v/>
      </c>
      <c r="E17" s="19">
        <f>WBS!J17</f>
        <v/>
      </c>
      <c r="F17">
        <f>CPM!E14</f>
        <v/>
      </c>
      <c r="G17">
        <f>CPM!F14</f>
        <v/>
      </c>
      <c r="H17" s="19">
        <f>IF(AND(1&gt;$F17,1&lt;=$G17),$E17/($G17-$F17),0)</f>
        <v/>
      </c>
      <c r="I17" s="19">
        <f>IF(AND(2&gt;$F17,2&lt;=$G17),$E17/($G17-$F17),0)</f>
        <v/>
      </c>
      <c r="J17" s="19">
        <f>IF(AND(3&gt;$F17,3&lt;=$G17),$E17/($G17-$F17),0)</f>
        <v/>
      </c>
      <c r="K17" s="19">
        <f>IF(AND(4&gt;$F17,4&lt;=$G17),$E17/($G17-$F17),0)</f>
        <v/>
      </c>
      <c r="L17" s="19">
        <f>IF(AND(5&gt;$F17,5&lt;=$G17),$E17/($G17-$F17),0)</f>
        <v/>
      </c>
      <c r="M17" s="19">
        <f>IF(AND(6&gt;$F17,6&lt;=$G17),$E17/($G17-$F17),0)</f>
        <v/>
      </c>
      <c r="N17" s="19">
        <f>IF(AND(7&gt;$F17,7&lt;=$G17),$E17/($G17-$F17),0)</f>
        <v/>
      </c>
      <c r="O17" s="19">
        <f>IF(AND(8&gt;$F17,8&lt;=$G17),$E17/($G17-$F17),0)</f>
        <v/>
      </c>
      <c r="P17" s="19">
        <f>IF(AND(9&gt;$F17,9&lt;=$G17),$E17/($G17-$F17),0)</f>
        <v/>
      </c>
      <c r="Q17" s="19">
        <f>IF(AND(10&gt;$F17,10&lt;=$G17),$E17/($G17-$F17),0)</f>
        <v/>
      </c>
      <c r="R17" s="19">
        <f>IF(AND(11&gt;$F17,11&lt;=$G17),$E17/($G17-$F17),0)</f>
        <v/>
      </c>
      <c r="S17" s="19">
        <f>IF(AND(12&gt;$F17,12&lt;=$G17),$E17/($G17-$F17),0)</f>
        <v/>
      </c>
      <c r="T17" s="19">
        <f>IF(AND(13&gt;$F17,13&lt;=$G17),$E17/($G17-$F17),0)</f>
        <v/>
      </c>
      <c r="U17" s="19">
        <f>IF(AND(14&gt;$F17,14&lt;=$G17),$E17/($G17-$F17),0)</f>
        <v/>
      </c>
      <c r="V17" s="19">
        <f>IF(AND(15&gt;$F17,15&lt;=$G17),$E17/($G17-$F17),0)</f>
        <v/>
      </c>
      <c r="W17" s="19">
        <f>IF(AND(16&gt;$F17,16&lt;=$G17),$E17/($G17-$F17),0)</f>
        <v/>
      </c>
    </row>
    <row r="18">
      <c r="A18">
        <f>WBS!A18</f>
        <v/>
      </c>
      <c r="B18">
        <f>WBS!B18</f>
        <v/>
      </c>
      <c r="C18">
        <f>WBS!D18</f>
        <v/>
      </c>
      <c r="D18">
        <f>WBS!E18</f>
        <v/>
      </c>
      <c r="E18" s="19">
        <f>WBS!J18</f>
        <v/>
      </c>
      <c r="F18">
        <f>CPM!E12</f>
        <v/>
      </c>
      <c r="G18">
        <f>CPM!F12</f>
        <v/>
      </c>
      <c r="H18" s="19">
        <f>IF(AND(1&gt;$F18,1&lt;=$G18),$E18/($G18-$F18),0)</f>
        <v/>
      </c>
      <c r="I18" s="19">
        <f>IF(AND(2&gt;$F18,2&lt;=$G18),$E18/($G18-$F18),0)</f>
        <v/>
      </c>
      <c r="J18" s="19">
        <f>IF(AND(3&gt;$F18,3&lt;=$G18),$E18/($G18-$F18),0)</f>
        <v/>
      </c>
      <c r="K18" s="19">
        <f>IF(AND(4&gt;$F18,4&lt;=$G18),$E18/($G18-$F18),0)</f>
        <v/>
      </c>
      <c r="L18" s="19">
        <f>IF(AND(5&gt;$F18,5&lt;=$G18),$E18/($G18-$F18),0)</f>
        <v/>
      </c>
      <c r="M18" s="19">
        <f>IF(AND(6&gt;$F18,6&lt;=$G18),$E18/($G18-$F18),0)</f>
        <v/>
      </c>
      <c r="N18" s="19">
        <f>IF(AND(7&gt;$F18,7&lt;=$G18),$E18/($G18-$F18),0)</f>
        <v/>
      </c>
      <c r="O18" s="19">
        <f>IF(AND(8&gt;$F18,8&lt;=$G18),$E18/($G18-$F18),0)</f>
        <v/>
      </c>
      <c r="P18" s="19">
        <f>IF(AND(9&gt;$F18,9&lt;=$G18),$E18/($G18-$F18),0)</f>
        <v/>
      </c>
      <c r="Q18" s="19">
        <f>IF(AND(10&gt;$F18,10&lt;=$G18),$E18/($G18-$F18),0)</f>
        <v/>
      </c>
      <c r="R18" s="19">
        <f>IF(AND(11&gt;$F18,11&lt;=$G18),$E18/($G18-$F18),0)</f>
        <v/>
      </c>
      <c r="S18" s="19">
        <f>IF(AND(12&gt;$F18,12&lt;=$G18),$E18/($G18-$F18),0)</f>
        <v/>
      </c>
      <c r="T18" s="19">
        <f>IF(AND(13&gt;$F18,13&lt;=$G18),$E18/($G18-$F18),0)</f>
        <v/>
      </c>
      <c r="U18" s="19">
        <f>IF(AND(14&gt;$F18,14&lt;=$G18),$E18/($G18-$F18),0)</f>
        <v/>
      </c>
      <c r="V18" s="19">
        <f>IF(AND(15&gt;$F18,15&lt;=$G18),$E18/($G18-$F18),0)</f>
        <v/>
      </c>
      <c r="W18" s="19">
        <f>IF(AND(16&gt;$F18,16&lt;=$G18),$E18/($G18-$F18),0)</f>
        <v/>
      </c>
    </row>
    <row r="19">
      <c r="A19">
        <f>WBS!A19</f>
        <v/>
      </c>
      <c r="B19">
        <f>WBS!B19</f>
        <v/>
      </c>
      <c r="C19">
        <f>WBS!D19</f>
        <v/>
      </c>
      <c r="D19">
        <f>WBS!E19</f>
        <v/>
      </c>
      <c r="E19" s="19">
        <f>WBS!J19</f>
        <v/>
      </c>
      <c r="F19">
        <f>CPM!E12</f>
        <v/>
      </c>
      <c r="G19">
        <f>CPM!F12</f>
        <v/>
      </c>
      <c r="H19" s="19">
        <f>IF(AND(1&gt;$F19,1&lt;=$G19),$E19/($G19-$F19),0)</f>
        <v/>
      </c>
      <c r="I19" s="19">
        <f>IF(AND(2&gt;$F19,2&lt;=$G19),$E19/($G19-$F19),0)</f>
        <v/>
      </c>
      <c r="J19" s="19">
        <f>IF(AND(3&gt;$F19,3&lt;=$G19),$E19/($G19-$F19),0)</f>
        <v/>
      </c>
      <c r="K19" s="19">
        <f>IF(AND(4&gt;$F19,4&lt;=$G19),$E19/($G19-$F19),0)</f>
        <v/>
      </c>
      <c r="L19" s="19">
        <f>IF(AND(5&gt;$F19,5&lt;=$G19),$E19/($G19-$F19),0)</f>
        <v/>
      </c>
      <c r="M19" s="19">
        <f>IF(AND(6&gt;$F19,6&lt;=$G19),$E19/($G19-$F19),0)</f>
        <v/>
      </c>
      <c r="N19" s="19">
        <f>IF(AND(7&gt;$F19,7&lt;=$G19),$E19/($G19-$F19),0)</f>
        <v/>
      </c>
      <c r="O19" s="19">
        <f>IF(AND(8&gt;$F19,8&lt;=$G19),$E19/($G19-$F19),0)</f>
        <v/>
      </c>
      <c r="P19" s="19">
        <f>IF(AND(9&gt;$F19,9&lt;=$G19),$E19/($G19-$F19),0)</f>
        <v/>
      </c>
      <c r="Q19" s="19">
        <f>IF(AND(10&gt;$F19,10&lt;=$G19),$E19/($G19-$F19),0)</f>
        <v/>
      </c>
      <c r="R19" s="19">
        <f>IF(AND(11&gt;$F19,11&lt;=$G19),$E19/($G19-$F19),0)</f>
        <v/>
      </c>
      <c r="S19" s="19">
        <f>IF(AND(12&gt;$F19,12&lt;=$G19),$E19/($G19-$F19),0)</f>
        <v/>
      </c>
      <c r="T19" s="19">
        <f>IF(AND(13&gt;$F19,13&lt;=$G19),$E19/($G19-$F19),0)</f>
        <v/>
      </c>
      <c r="U19" s="19">
        <f>IF(AND(14&gt;$F19,14&lt;=$G19),$E19/($G19-$F19),0)</f>
        <v/>
      </c>
      <c r="V19" s="19">
        <f>IF(AND(15&gt;$F19,15&lt;=$G19),$E19/($G19-$F19),0)</f>
        <v/>
      </c>
      <c r="W19" s="19">
        <f>IF(AND(16&gt;$F19,16&lt;=$G19),$E19/($G19-$F19),0)</f>
        <v/>
      </c>
    </row>
    <row r="20">
      <c r="A20">
        <f>WBS!A20</f>
        <v/>
      </c>
      <c r="B20">
        <f>WBS!B20</f>
        <v/>
      </c>
      <c r="C20">
        <f>WBS!D20</f>
        <v/>
      </c>
      <c r="D20">
        <f>WBS!E20</f>
        <v/>
      </c>
      <c r="E20" s="19">
        <f>WBS!J20</f>
        <v/>
      </c>
      <c r="F20">
        <f>CPM!E14</f>
        <v/>
      </c>
      <c r="G20">
        <f>CPM!F14</f>
        <v/>
      </c>
      <c r="H20" s="19">
        <f>IF(AND(1&gt;$F20,1&lt;=$G20),$E20/($G20-$F20),0)</f>
        <v/>
      </c>
      <c r="I20" s="19">
        <f>IF(AND(2&gt;$F20,2&lt;=$G20),$E20/($G20-$F20),0)</f>
        <v/>
      </c>
      <c r="J20" s="19">
        <f>IF(AND(3&gt;$F20,3&lt;=$G20),$E20/($G20-$F20),0)</f>
        <v/>
      </c>
      <c r="K20" s="19">
        <f>IF(AND(4&gt;$F20,4&lt;=$G20),$E20/($G20-$F20),0)</f>
        <v/>
      </c>
      <c r="L20" s="19">
        <f>IF(AND(5&gt;$F20,5&lt;=$G20),$E20/($G20-$F20),0)</f>
        <v/>
      </c>
      <c r="M20" s="19">
        <f>IF(AND(6&gt;$F20,6&lt;=$G20),$E20/($G20-$F20),0)</f>
        <v/>
      </c>
      <c r="N20" s="19">
        <f>IF(AND(7&gt;$F20,7&lt;=$G20),$E20/($G20-$F20),0)</f>
        <v/>
      </c>
      <c r="O20" s="19">
        <f>IF(AND(8&gt;$F20,8&lt;=$G20),$E20/($G20-$F20),0)</f>
        <v/>
      </c>
      <c r="P20" s="19">
        <f>IF(AND(9&gt;$F20,9&lt;=$G20),$E20/($G20-$F20),0)</f>
        <v/>
      </c>
      <c r="Q20" s="19">
        <f>IF(AND(10&gt;$F20,10&lt;=$G20),$E20/($G20-$F20),0)</f>
        <v/>
      </c>
      <c r="R20" s="19">
        <f>IF(AND(11&gt;$F20,11&lt;=$G20),$E20/($G20-$F20),0)</f>
        <v/>
      </c>
      <c r="S20" s="19">
        <f>IF(AND(12&gt;$F20,12&lt;=$G20),$E20/($G20-$F20),0)</f>
        <v/>
      </c>
      <c r="T20" s="19">
        <f>IF(AND(13&gt;$F20,13&lt;=$G20),$E20/($G20-$F20),0)</f>
        <v/>
      </c>
      <c r="U20" s="19">
        <f>IF(AND(14&gt;$F20,14&lt;=$G20),$E20/($G20-$F20),0)</f>
        <v/>
      </c>
      <c r="V20" s="19">
        <f>IF(AND(15&gt;$F20,15&lt;=$G20),$E20/($G20-$F20),0)</f>
        <v/>
      </c>
      <c r="W20" s="19">
        <f>IF(AND(16&gt;$F20,16&lt;=$G20),$E20/($G20-$F20),0)</f>
        <v/>
      </c>
    </row>
    <row r="21">
      <c r="A21">
        <f>WBS!A21</f>
        <v/>
      </c>
      <c r="B21">
        <f>WBS!B21</f>
        <v/>
      </c>
      <c r="C21">
        <f>WBS!D21</f>
        <v/>
      </c>
      <c r="D21">
        <f>WBS!E21</f>
        <v/>
      </c>
      <c r="E21" s="19">
        <f>WBS!J21</f>
        <v/>
      </c>
      <c r="F21">
        <f>CPM!E13</f>
        <v/>
      </c>
      <c r="G21">
        <f>CPM!F13</f>
        <v/>
      </c>
      <c r="H21" s="19">
        <f>IF(AND(1&gt;$F21,1&lt;=$G21),$E21/($G21-$F21),0)</f>
        <v/>
      </c>
      <c r="I21" s="19">
        <f>IF(AND(2&gt;$F21,2&lt;=$G21),$E21/($G21-$F21),0)</f>
        <v/>
      </c>
      <c r="J21" s="19">
        <f>IF(AND(3&gt;$F21,3&lt;=$G21),$E21/($G21-$F21),0)</f>
        <v/>
      </c>
      <c r="K21" s="19">
        <f>IF(AND(4&gt;$F21,4&lt;=$G21),$E21/($G21-$F21),0)</f>
        <v/>
      </c>
      <c r="L21" s="19">
        <f>IF(AND(5&gt;$F21,5&lt;=$G21),$E21/($G21-$F21),0)</f>
        <v/>
      </c>
      <c r="M21" s="19">
        <f>IF(AND(6&gt;$F21,6&lt;=$G21),$E21/($G21-$F21),0)</f>
        <v/>
      </c>
      <c r="N21" s="19">
        <f>IF(AND(7&gt;$F21,7&lt;=$G21),$E21/($G21-$F21),0)</f>
        <v/>
      </c>
      <c r="O21" s="19">
        <f>IF(AND(8&gt;$F21,8&lt;=$G21),$E21/($G21-$F21),0)</f>
        <v/>
      </c>
      <c r="P21" s="19">
        <f>IF(AND(9&gt;$F21,9&lt;=$G21),$E21/($G21-$F21),0)</f>
        <v/>
      </c>
      <c r="Q21" s="19">
        <f>IF(AND(10&gt;$F21,10&lt;=$G21),$E21/($G21-$F21),0)</f>
        <v/>
      </c>
      <c r="R21" s="19">
        <f>IF(AND(11&gt;$F21,11&lt;=$G21),$E21/($G21-$F21),0)</f>
        <v/>
      </c>
      <c r="S21" s="19">
        <f>IF(AND(12&gt;$F21,12&lt;=$G21),$E21/($G21-$F21),0)</f>
        <v/>
      </c>
      <c r="T21" s="19">
        <f>IF(AND(13&gt;$F21,13&lt;=$G21),$E21/($G21-$F21),0)</f>
        <v/>
      </c>
      <c r="U21" s="19">
        <f>IF(AND(14&gt;$F21,14&lt;=$G21),$E21/($G21-$F21),0)</f>
        <v/>
      </c>
      <c r="V21" s="19">
        <f>IF(AND(15&gt;$F21,15&lt;=$G21),$E21/($G21-$F21),0)</f>
        <v/>
      </c>
      <c r="W21" s="19">
        <f>IF(AND(16&gt;$F21,16&lt;=$G21),$E21/($G21-$F21),0)</f>
        <v/>
      </c>
    </row>
    <row r="22">
      <c r="A22">
        <f>WBS!A22</f>
        <v/>
      </c>
      <c r="B22">
        <f>WBS!B22</f>
        <v/>
      </c>
      <c r="C22">
        <f>WBS!D22</f>
        <v/>
      </c>
      <c r="D22">
        <f>WBS!E22</f>
        <v/>
      </c>
      <c r="E22" s="19">
        <f>WBS!J22</f>
        <v/>
      </c>
      <c r="F22">
        <f>CPM!E13</f>
        <v/>
      </c>
      <c r="G22">
        <f>CPM!F13</f>
        <v/>
      </c>
      <c r="H22" s="19">
        <f>IF(AND(1&gt;$F22,1&lt;=$G22),$E22/($G22-$F22),0)</f>
        <v/>
      </c>
      <c r="I22" s="19">
        <f>IF(AND(2&gt;$F22,2&lt;=$G22),$E22/($G22-$F22),0)</f>
        <v/>
      </c>
      <c r="J22" s="19">
        <f>IF(AND(3&gt;$F22,3&lt;=$G22),$E22/($G22-$F22),0)</f>
        <v/>
      </c>
      <c r="K22" s="19">
        <f>IF(AND(4&gt;$F22,4&lt;=$G22),$E22/($G22-$F22),0)</f>
        <v/>
      </c>
      <c r="L22" s="19">
        <f>IF(AND(5&gt;$F22,5&lt;=$G22),$E22/($G22-$F22),0)</f>
        <v/>
      </c>
      <c r="M22" s="19">
        <f>IF(AND(6&gt;$F22,6&lt;=$G22),$E22/($G22-$F22),0)</f>
        <v/>
      </c>
      <c r="N22" s="19">
        <f>IF(AND(7&gt;$F22,7&lt;=$G22),$E22/($G22-$F22),0)</f>
        <v/>
      </c>
      <c r="O22" s="19">
        <f>IF(AND(8&gt;$F22,8&lt;=$G22),$E22/($G22-$F22),0)</f>
        <v/>
      </c>
      <c r="P22" s="19">
        <f>IF(AND(9&gt;$F22,9&lt;=$G22),$E22/($G22-$F22),0)</f>
        <v/>
      </c>
      <c r="Q22" s="19">
        <f>IF(AND(10&gt;$F22,10&lt;=$G22),$E22/($G22-$F22),0)</f>
        <v/>
      </c>
      <c r="R22" s="19">
        <f>IF(AND(11&gt;$F22,11&lt;=$G22),$E22/($G22-$F22),0)</f>
        <v/>
      </c>
      <c r="S22" s="19">
        <f>IF(AND(12&gt;$F22,12&lt;=$G22),$E22/($G22-$F22),0)</f>
        <v/>
      </c>
      <c r="T22" s="19">
        <f>IF(AND(13&gt;$F22,13&lt;=$G22),$E22/($G22-$F22),0)</f>
        <v/>
      </c>
      <c r="U22" s="19">
        <f>IF(AND(14&gt;$F22,14&lt;=$G22),$E22/($G22-$F22),0)</f>
        <v/>
      </c>
      <c r="V22" s="19">
        <f>IF(AND(15&gt;$F22,15&lt;=$G22),$E22/($G22-$F22),0)</f>
        <v/>
      </c>
      <c r="W22" s="19">
        <f>IF(AND(16&gt;$F22,16&lt;=$G22),$E22/($G22-$F22),0)</f>
        <v/>
      </c>
    </row>
    <row r="23">
      <c r="A23">
        <f>WBS!A23</f>
        <v/>
      </c>
      <c r="B23">
        <f>WBS!B23</f>
        <v/>
      </c>
      <c r="C23">
        <f>WBS!D23</f>
        <v/>
      </c>
      <c r="D23">
        <f>WBS!E23</f>
        <v/>
      </c>
      <c r="E23" s="19">
        <f>WBS!J23</f>
        <v/>
      </c>
      <c r="F23">
        <f>CPM!E15</f>
        <v/>
      </c>
      <c r="G23">
        <f>CPM!F15</f>
        <v/>
      </c>
      <c r="H23" s="19">
        <f>IF(AND(1&gt;$F23,1&lt;=$G23),$E23/($G23-$F23),0)</f>
        <v/>
      </c>
      <c r="I23" s="19">
        <f>IF(AND(2&gt;$F23,2&lt;=$G23),$E23/($G23-$F23),0)</f>
        <v/>
      </c>
      <c r="J23" s="19">
        <f>IF(AND(3&gt;$F23,3&lt;=$G23),$E23/($G23-$F23),0)</f>
        <v/>
      </c>
      <c r="K23" s="19">
        <f>IF(AND(4&gt;$F23,4&lt;=$G23),$E23/($G23-$F23),0)</f>
        <v/>
      </c>
      <c r="L23" s="19">
        <f>IF(AND(5&gt;$F23,5&lt;=$G23),$E23/($G23-$F23),0)</f>
        <v/>
      </c>
      <c r="M23" s="19">
        <f>IF(AND(6&gt;$F23,6&lt;=$G23),$E23/($G23-$F23),0)</f>
        <v/>
      </c>
      <c r="N23" s="19">
        <f>IF(AND(7&gt;$F23,7&lt;=$G23),$E23/($G23-$F23),0)</f>
        <v/>
      </c>
      <c r="O23" s="19">
        <f>IF(AND(8&gt;$F23,8&lt;=$G23),$E23/($G23-$F23),0)</f>
        <v/>
      </c>
      <c r="P23" s="19">
        <f>IF(AND(9&gt;$F23,9&lt;=$G23),$E23/($G23-$F23),0)</f>
        <v/>
      </c>
      <c r="Q23" s="19">
        <f>IF(AND(10&gt;$F23,10&lt;=$G23),$E23/($G23-$F23),0)</f>
        <v/>
      </c>
      <c r="R23" s="19">
        <f>IF(AND(11&gt;$F23,11&lt;=$G23),$E23/($G23-$F23),0)</f>
        <v/>
      </c>
      <c r="S23" s="19">
        <f>IF(AND(12&gt;$F23,12&lt;=$G23),$E23/($G23-$F23),0)</f>
        <v/>
      </c>
      <c r="T23" s="19">
        <f>IF(AND(13&gt;$F23,13&lt;=$G23),$E23/($G23-$F23),0)</f>
        <v/>
      </c>
      <c r="U23" s="19">
        <f>IF(AND(14&gt;$F23,14&lt;=$G23),$E23/($G23-$F23),0)</f>
        <v/>
      </c>
      <c r="V23" s="19">
        <f>IF(AND(15&gt;$F23,15&lt;=$G23),$E23/($G23-$F23),0)</f>
        <v/>
      </c>
      <c r="W23" s="19">
        <f>IF(AND(16&gt;$F23,16&lt;=$G23),$E23/($G23-$F23),0)</f>
        <v/>
      </c>
    </row>
    <row r="24">
      <c r="A24">
        <f>WBS!A24</f>
        <v/>
      </c>
      <c r="B24">
        <f>WBS!B24</f>
        <v/>
      </c>
      <c r="C24">
        <f>WBS!D24</f>
        <v/>
      </c>
      <c r="D24">
        <f>WBS!E24</f>
        <v/>
      </c>
      <c r="E24" s="19">
        <f>WBS!J24</f>
        <v/>
      </c>
      <c r="F24">
        <f>CPM!E13</f>
        <v/>
      </c>
      <c r="G24">
        <f>CPM!F13</f>
        <v/>
      </c>
      <c r="H24" s="19">
        <f>IF(AND(1&gt;$F24,1&lt;=$G24),$E24/($G24-$F24),0)</f>
        <v/>
      </c>
      <c r="I24" s="19">
        <f>IF(AND(2&gt;$F24,2&lt;=$G24),$E24/($G24-$F24),0)</f>
        <v/>
      </c>
      <c r="J24" s="19">
        <f>IF(AND(3&gt;$F24,3&lt;=$G24),$E24/($G24-$F24),0)</f>
        <v/>
      </c>
      <c r="K24" s="19">
        <f>IF(AND(4&gt;$F24,4&lt;=$G24),$E24/($G24-$F24),0)</f>
        <v/>
      </c>
      <c r="L24" s="19">
        <f>IF(AND(5&gt;$F24,5&lt;=$G24),$E24/($G24-$F24),0)</f>
        <v/>
      </c>
      <c r="M24" s="19">
        <f>IF(AND(6&gt;$F24,6&lt;=$G24),$E24/($G24-$F24),0)</f>
        <v/>
      </c>
      <c r="N24" s="19">
        <f>IF(AND(7&gt;$F24,7&lt;=$G24),$E24/($G24-$F24),0)</f>
        <v/>
      </c>
      <c r="O24" s="19">
        <f>IF(AND(8&gt;$F24,8&lt;=$G24),$E24/($G24-$F24),0)</f>
        <v/>
      </c>
      <c r="P24" s="19">
        <f>IF(AND(9&gt;$F24,9&lt;=$G24),$E24/($G24-$F24),0)</f>
        <v/>
      </c>
      <c r="Q24" s="19">
        <f>IF(AND(10&gt;$F24,10&lt;=$G24),$E24/($G24-$F24),0)</f>
        <v/>
      </c>
      <c r="R24" s="19">
        <f>IF(AND(11&gt;$F24,11&lt;=$G24),$E24/($G24-$F24),0)</f>
        <v/>
      </c>
      <c r="S24" s="19">
        <f>IF(AND(12&gt;$F24,12&lt;=$G24),$E24/($G24-$F24),0)</f>
        <v/>
      </c>
      <c r="T24" s="19">
        <f>IF(AND(13&gt;$F24,13&lt;=$G24),$E24/($G24-$F24),0)</f>
        <v/>
      </c>
      <c r="U24" s="19">
        <f>IF(AND(14&gt;$F24,14&lt;=$G24),$E24/($G24-$F24),0)</f>
        <v/>
      </c>
      <c r="V24" s="19">
        <f>IF(AND(15&gt;$F24,15&lt;=$G24),$E24/($G24-$F24),0)</f>
        <v/>
      </c>
      <c r="W24" s="19">
        <f>IF(AND(16&gt;$F24,16&lt;=$G24),$E24/($G24-$F24),0)</f>
        <v/>
      </c>
    </row>
    <row r="25">
      <c r="A25">
        <f>WBS!A25</f>
        <v/>
      </c>
      <c r="B25">
        <f>WBS!B25</f>
        <v/>
      </c>
      <c r="C25">
        <f>WBS!D25</f>
        <v/>
      </c>
      <c r="D25">
        <f>WBS!E25</f>
        <v/>
      </c>
      <c r="E25" s="19">
        <f>WBS!J25</f>
        <v/>
      </c>
      <c r="F25">
        <f>CPM!E14</f>
        <v/>
      </c>
      <c r="G25">
        <f>CPM!F14</f>
        <v/>
      </c>
      <c r="H25" s="19">
        <f>IF(AND(1&gt;$F25,1&lt;=$G25),$E25/($G25-$F25),0)</f>
        <v/>
      </c>
      <c r="I25" s="19">
        <f>IF(AND(2&gt;$F25,2&lt;=$G25),$E25/($G25-$F25),0)</f>
        <v/>
      </c>
      <c r="J25" s="19">
        <f>IF(AND(3&gt;$F25,3&lt;=$G25),$E25/($G25-$F25),0)</f>
        <v/>
      </c>
      <c r="K25" s="19">
        <f>IF(AND(4&gt;$F25,4&lt;=$G25),$E25/($G25-$F25),0)</f>
        <v/>
      </c>
      <c r="L25" s="19">
        <f>IF(AND(5&gt;$F25,5&lt;=$G25),$E25/($G25-$F25),0)</f>
        <v/>
      </c>
      <c r="M25" s="19">
        <f>IF(AND(6&gt;$F25,6&lt;=$G25),$E25/($G25-$F25),0)</f>
        <v/>
      </c>
      <c r="N25" s="19">
        <f>IF(AND(7&gt;$F25,7&lt;=$G25),$E25/($G25-$F25),0)</f>
        <v/>
      </c>
      <c r="O25" s="19">
        <f>IF(AND(8&gt;$F25,8&lt;=$G25),$E25/($G25-$F25),0)</f>
        <v/>
      </c>
      <c r="P25" s="19">
        <f>IF(AND(9&gt;$F25,9&lt;=$G25),$E25/($G25-$F25),0)</f>
        <v/>
      </c>
      <c r="Q25" s="19">
        <f>IF(AND(10&gt;$F25,10&lt;=$G25),$E25/($G25-$F25),0)</f>
        <v/>
      </c>
      <c r="R25" s="19">
        <f>IF(AND(11&gt;$F25,11&lt;=$G25),$E25/($G25-$F25),0)</f>
        <v/>
      </c>
      <c r="S25" s="19">
        <f>IF(AND(12&gt;$F25,12&lt;=$G25),$E25/($G25-$F25),0)</f>
        <v/>
      </c>
      <c r="T25" s="19">
        <f>IF(AND(13&gt;$F25,13&lt;=$G25),$E25/($G25-$F25),0)</f>
        <v/>
      </c>
      <c r="U25" s="19">
        <f>IF(AND(14&gt;$F25,14&lt;=$G25),$E25/($G25-$F25),0)</f>
        <v/>
      </c>
      <c r="V25" s="19">
        <f>IF(AND(15&gt;$F25,15&lt;=$G25),$E25/($G25-$F25),0)</f>
        <v/>
      </c>
      <c r="W25" s="19">
        <f>IF(AND(16&gt;$F25,16&lt;=$G25),$E25/($G25-$F25),0)</f>
        <v/>
      </c>
    </row>
    <row r="26">
      <c r="A26">
        <f>WBS!A26</f>
        <v/>
      </c>
      <c r="B26">
        <f>WBS!B26</f>
        <v/>
      </c>
      <c r="C26">
        <f>WBS!D26</f>
        <v/>
      </c>
      <c r="D26">
        <f>WBS!E26</f>
        <v/>
      </c>
      <c r="E26" s="19">
        <f>WBS!J26</f>
        <v/>
      </c>
      <c r="F26">
        <f>CPM!E13</f>
        <v/>
      </c>
      <c r="G26">
        <f>CPM!F13</f>
        <v/>
      </c>
      <c r="H26" s="19">
        <f>IF(AND(1&gt;$F26,1&lt;=$G26),$E26/($G26-$F26),0)</f>
        <v/>
      </c>
      <c r="I26" s="19">
        <f>IF(AND(2&gt;$F26,2&lt;=$G26),$E26/($G26-$F26),0)</f>
        <v/>
      </c>
      <c r="J26" s="19">
        <f>IF(AND(3&gt;$F26,3&lt;=$G26),$E26/($G26-$F26),0)</f>
        <v/>
      </c>
      <c r="K26" s="19">
        <f>IF(AND(4&gt;$F26,4&lt;=$G26),$E26/($G26-$F26),0)</f>
        <v/>
      </c>
      <c r="L26" s="19">
        <f>IF(AND(5&gt;$F26,5&lt;=$G26),$E26/($G26-$F26),0)</f>
        <v/>
      </c>
      <c r="M26" s="19">
        <f>IF(AND(6&gt;$F26,6&lt;=$G26),$E26/($G26-$F26),0)</f>
        <v/>
      </c>
      <c r="N26" s="19">
        <f>IF(AND(7&gt;$F26,7&lt;=$G26),$E26/($G26-$F26),0)</f>
        <v/>
      </c>
      <c r="O26" s="19">
        <f>IF(AND(8&gt;$F26,8&lt;=$G26),$E26/($G26-$F26),0)</f>
        <v/>
      </c>
      <c r="P26" s="19">
        <f>IF(AND(9&gt;$F26,9&lt;=$G26),$E26/($G26-$F26),0)</f>
        <v/>
      </c>
      <c r="Q26" s="19">
        <f>IF(AND(10&gt;$F26,10&lt;=$G26),$E26/($G26-$F26),0)</f>
        <v/>
      </c>
      <c r="R26" s="19">
        <f>IF(AND(11&gt;$F26,11&lt;=$G26),$E26/($G26-$F26),0)</f>
        <v/>
      </c>
      <c r="S26" s="19">
        <f>IF(AND(12&gt;$F26,12&lt;=$G26),$E26/($G26-$F26),0)</f>
        <v/>
      </c>
      <c r="T26" s="19">
        <f>IF(AND(13&gt;$F26,13&lt;=$G26),$E26/($G26-$F26),0)</f>
        <v/>
      </c>
      <c r="U26" s="19">
        <f>IF(AND(14&gt;$F26,14&lt;=$G26),$E26/($G26-$F26),0)</f>
        <v/>
      </c>
      <c r="V26" s="19">
        <f>IF(AND(15&gt;$F26,15&lt;=$G26),$E26/($G26-$F26),0)</f>
        <v/>
      </c>
      <c r="W26" s="19">
        <f>IF(AND(16&gt;$F26,16&lt;=$G26),$E26/($G26-$F26),0)</f>
        <v/>
      </c>
    </row>
    <row r="27">
      <c r="A27">
        <f>WBS!A27</f>
        <v/>
      </c>
      <c r="B27">
        <f>WBS!B27</f>
        <v/>
      </c>
      <c r="C27">
        <f>WBS!D27</f>
        <v/>
      </c>
      <c r="D27">
        <f>WBS!E27</f>
        <v/>
      </c>
      <c r="E27" s="19">
        <f>WBS!J27</f>
        <v/>
      </c>
      <c r="F27">
        <f>CPM!E15</f>
        <v/>
      </c>
      <c r="G27">
        <f>CPM!F15</f>
        <v/>
      </c>
      <c r="H27" s="19">
        <f>IF(AND(1&gt;$F27,1&lt;=$G27),$E27/($G27-$F27),0)</f>
        <v/>
      </c>
      <c r="I27" s="19">
        <f>IF(AND(2&gt;$F27,2&lt;=$G27),$E27/($G27-$F27),0)</f>
        <v/>
      </c>
      <c r="J27" s="19">
        <f>IF(AND(3&gt;$F27,3&lt;=$G27),$E27/($G27-$F27),0)</f>
        <v/>
      </c>
      <c r="K27" s="19">
        <f>IF(AND(4&gt;$F27,4&lt;=$G27),$E27/($G27-$F27),0)</f>
        <v/>
      </c>
      <c r="L27" s="19">
        <f>IF(AND(5&gt;$F27,5&lt;=$G27),$E27/($G27-$F27),0)</f>
        <v/>
      </c>
      <c r="M27" s="19">
        <f>IF(AND(6&gt;$F27,6&lt;=$G27),$E27/($G27-$F27),0)</f>
        <v/>
      </c>
      <c r="N27" s="19">
        <f>IF(AND(7&gt;$F27,7&lt;=$G27),$E27/($G27-$F27),0)</f>
        <v/>
      </c>
      <c r="O27" s="19">
        <f>IF(AND(8&gt;$F27,8&lt;=$G27),$E27/($G27-$F27),0)</f>
        <v/>
      </c>
      <c r="P27" s="19">
        <f>IF(AND(9&gt;$F27,9&lt;=$G27),$E27/($G27-$F27),0)</f>
        <v/>
      </c>
      <c r="Q27" s="19">
        <f>IF(AND(10&gt;$F27,10&lt;=$G27),$E27/($G27-$F27),0)</f>
        <v/>
      </c>
      <c r="R27" s="19">
        <f>IF(AND(11&gt;$F27,11&lt;=$G27),$E27/($G27-$F27),0)</f>
        <v/>
      </c>
      <c r="S27" s="19">
        <f>IF(AND(12&gt;$F27,12&lt;=$G27),$E27/($G27-$F27),0)</f>
        <v/>
      </c>
      <c r="T27" s="19">
        <f>IF(AND(13&gt;$F27,13&lt;=$G27),$E27/($G27-$F27),0)</f>
        <v/>
      </c>
      <c r="U27" s="19">
        <f>IF(AND(14&gt;$F27,14&lt;=$G27),$E27/($G27-$F27),0)</f>
        <v/>
      </c>
      <c r="V27" s="19">
        <f>IF(AND(15&gt;$F27,15&lt;=$G27),$E27/($G27-$F27),0)</f>
        <v/>
      </c>
      <c r="W27" s="19">
        <f>IF(AND(16&gt;$F27,16&lt;=$G27),$E27/($G27-$F27),0)</f>
        <v/>
      </c>
    </row>
    <row r="28">
      <c r="A28">
        <f>WBS!A28</f>
        <v/>
      </c>
      <c r="B28">
        <f>WBS!B28</f>
        <v/>
      </c>
      <c r="C28">
        <f>WBS!D28</f>
        <v/>
      </c>
      <c r="D28">
        <f>WBS!E28</f>
        <v/>
      </c>
      <c r="E28" s="19">
        <f>WBS!J28</f>
        <v/>
      </c>
      <c r="F28">
        <f>CPM!E16</f>
        <v/>
      </c>
      <c r="G28">
        <f>CPM!F16</f>
        <v/>
      </c>
      <c r="H28" s="19">
        <f>IF(AND(1&gt;$F28,1&lt;=$G28),$E28/($G28-$F28),0)</f>
        <v/>
      </c>
      <c r="I28" s="19">
        <f>IF(AND(2&gt;$F28,2&lt;=$G28),$E28/($G28-$F28),0)</f>
        <v/>
      </c>
      <c r="J28" s="19">
        <f>IF(AND(3&gt;$F28,3&lt;=$G28),$E28/($G28-$F28),0)</f>
        <v/>
      </c>
      <c r="K28" s="19">
        <f>IF(AND(4&gt;$F28,4&lt;=$G28),$E28/($G28-$F28),0)</f>
        <v/>
      </c>
      <c r="L28" s="19">
        <f>IF(AND(5&gt;$F28,5&lt;=$G28),$E28/($G28-$F28),0)</f>
        <v/>
      </c>
      <c r="M28" s="19">
        <f>IF(AND(6&gt;$F28,6&lt;=$G28),$E28/($G28-$F28),0)</f>
        <v/>
      </c>
      <c r="N28" s="19">
        <f>IF(AND(7&gt;$F28,7&lt;=$G28),$E28/($G28-$F28),0)</f>
        <v/>
      </c>
      <c r="O28" s="19">
        <f>IF(AND(8&gt;$F28,8&lt;=$G28),$E28/($G28-$F28),0)</f>
        <v/>
      </c>
      <c r="P28" s="19">
        <f>IF(AND(9&gt;$F28,9&lt;=$G28),$E28/($G28-$F28),0)</f>
        <v/>
      </c>
      <c r="Q28" s="19">
        <f>IF(AND(10&gt;$F28,10&lt;=$G28),$E28/($G28-$F28),0)</f>
        <v/>
      </c>
      <c r="R28" s="19">
        <f>IF(AND(11&gt;$F28,11&lt;=$G28),$E28/($G28-$F28),0)</f>
        <v/>
      </c>
      <c r="S28" s="19">
        <f>IF(AND(12&gt;$F28,12&lt;=$G28),$E28/($G28-$F28),0)</f>
        <v/>
      </c>
      <c r="T28" s="19">
        <f>IF(AND(13&gt;$F28,13&lt;=$G28),$E28/($G28-$F28),0)</f>
        <v/>
      </c>
      <c r="U28" s="19">
        <f>IF(AND(14&gt;$F28,14&lt;=$G28),$E28/($G28-$F28),0)</f>
        <v/>
      </c>
      <c r="V28" s="19">
        <f>IF(AND(15&gt;$F28,15&lt;=$G28),$E28/($G28-$F28),0)</f>
        <v/>
      </c>
      <c r="W28" s="19">
        <f>IF(AND(16&gt;$F28,16&lt;=$G28),$E28/($G28-$F28),0)</f>
        <v/>
      </c>
    </row>
    <row r="29">
      <c r="A29">
        <f>WBS!A29</f>
        <v/>
      </c>
      <c r="B29">
        <f>WBS!B29</f>
        <v/>
      </c>
      <c r="C29">
        <f>WBS!D29</f>
        <v/>
      </c>
      <c r="D29">
        <f>WBS!E29</f>
        <v/>
      </c>
      <c r="E29" s="19">
        <f>WBS!J29</f>
        <v/>
      </c>
      <c r="F29">
        <f>CPM!E16</f>
        <v/>
      </c>
      <c r="G29">
        <f>CPM!F16</f>
        <v/>
      </c>
      <c r="H29" s="19">
        <f>IF(AND(1&gt;$F29,1&lt;=$G29),$E29/($G29-$F29),0)</f>
        <v/>
      </c>
      <c r="I29" s="19">
        <f>IF(AND(2&gt;$F29,2&lt;=$G29),$E29/($G29-$F29),0)</f>
        <v/>
      </c>
      <c r="J29" s="19">
        <f>IF(AND(3&gt;$F29,3&lt;=$G29),$E29/($G29-$F29),0)</f>
        <v/>
      </c>
      <c r="K29" s="19">
        <f>IF(AND(4&gt;$F29,4&lt;=$G29),$E29/($G29-$F29),0)</f>
        <v/>
      </c>
      <c r="L29" s="19">
        <f>IF(AND(5&gt;$F29,5&lt;=$G29),$E29/($G29-$F29),0)</f>
        <v/>
      </c>
      <c r="M29" s="19">
        <f>IF(AND(6&gt;$F29,6&lt;=$G29),$E29/($G29-$F29),0)</f>
        <v/>
      </c>
      <c r="N29" s="19">
        <f>IF(AND(7&gt;$F29,7&lt;=$G29),$E29/($G29-$F29),0)</f>
        <v/>
      </c>
      <c r="O29" s="19">
        <f>IF(AND(8&gt;$F29,8&lt;=$G29),$E29/($G29-$F29),0)</f>
        <v/>
      </c>
      <c r="P29" s="19">
        <f>IF(AND(9&gt;$F29,9&lt;=$G29),$E29/($G29-$F29),0)</f>
        <v/>
      </c>
      <c r="Q29" s="19">
        <f>IF(AND(10&gt;$F29,10&lt;=$G29),$E29/($G29-$F29),0)</f>
        <v/>
      </c>
      <c r="R29" s="19">
        <f>IF(AND(11&gt;$F29,11&lt;=$G29),$E29/($G29-$F29),0)</f>
        <v/>
      </c>
      <c r="S29" s="19">
        <f>IF(AND(12&gt;$F29,12&lt;=$G29),$E29/($G29-$F29),0)</f>
        <v/>
      </c>
      <c r="T29" s="19">
        <f>IF(AND(13&gt;$F29,13&lt;=$G29),$E29/($G29-$F29),0)</f>
        <v/>
      </c>
      <c r="U29" s="19">
        <f>IF(AND(14&gt;$F29,14&lt;=$G29),$E29/($G29-$F29),0)</f>
        <v/>
      </c>
      <c r="V29" s="19">
        <f>IF(AND(15&gt;$F29,15&lt;=$G29),$E29/($G29-$F29),0)</f>
        <v/>
      </c>
      <c r="W29" s="19">
        <f>IF(AND(16&gt;$F29,16&lt;=$G29),$E29/($G29-$F29),0)</f>
        <v/>
      </c>
    </row>
    <row r="30">
      <c r="A30">
        <f>WBS!A30</f>
        <v/>
      </c>
      <c r="B30">
        <f>WBS!B30</f>
        <v/>
      </c>
      <c r="C30">
        <f>WBS!D30</f>
        <v/>
      </c>
      <c r="D30">
        <f>WBS!E30</f>
        <v/>
      </c>
      <c r="E30" s="19">
        <f>WBS!J30</f>
        <v/>
      </c>
      <c r="F30">
        <f>CPM!E17</f>
        <v/>
      </c>
      <c r="G30">
        <f>CPM!F17</f>
        <v/>
      </c>
      <c r="H30" s="19">
        <f>IF(AND(1&gt;$F30,1&lt;=$G30),$E30/($G30-$F30),0)</f>
        <v/>
      </c>
      <c r="I30" s="19">
        <f>IF(AND(2&gt;$F30,2&lt;=$G30),$E30/($G30-$F30),0)</f>
        <v/>
      </c>
      <c r="J30" s="19">
        <f>IF(AND(3&gt;$F30,3&lt;=$G30),$E30/($G30-$F30),0)</f>
        <v/>
      </c>
      <c r="K30" s="19">
        <f>IF(AND(4&gt;$F30,4&lt;=$G30),$E30/($G30-$F30),0)</f>
        <v/>
      </c>
      <c r="L30" s="19">
        <f>IF(AND(5&gt;$F30,5&lt;=$G30),$E30/($G30-$F30),0)</f>
        <v/>
      </c>
      <c r="M30" s="19">
        <f>IF(AND(6&gt;$F30,6&lt;=$G30),$E30/($G30-$F30),0)</f>
        <v/>
      </c>
      <c r="N30" s="19">
        <f>IF(AND(7&gt;$F30,7&lt;=$G30),$E30/($G30-$F30),0)</f>
        <v/>
      </c>
      <c r="O30" s="19">
        <f>IF(AND(8&gt;$F30,8&lt;=$G30),$E30/($G30-$F30),0)</f>
        <v/>
      </c>
      <c r="P30" s="19">
        <f>IF(AND(9&gt;$F30,9&lt;=$G30),$E30/($G30-$F30),0)</f>
        <v/>
      </c>
      <c r="Q30" s="19">
        <f>IF(AND(10&gt;$F30,10&lt;=$G30),$E30/($G30-$F30),0)</f>
        <v/>
      </c>
      <c r="R30" s="19">
        <f>IF(AND(11&gt;$F30,11&lt;=$G30),$E30/($G30-$F30),0)</f>
        <v/>
      </c>
      <c r="S30" s="19">
        <f>IF(AND(12&gt;$F30,12&lt;=$G30),$E30/($G30-$F30),0)</f>
        <v/>
      </c>
      <c r="T30" s="19">
        <f>IF(AND(13&gt;$F30,13&lt;=$G30),$E30/($G30-$F30),0)</f>
        <v/>
      </c>
      <c r="U30" s="19">
        <f>IF(AND(14&gt;$F30,14&lt;=$G30),$E30/($G30-$F30),0)</f>
        <v/>
      </c>
      <c r="V30" s="19">
        <f>IF(AND(15&gt;$F30,15&lt;=$G30),$E30/($G30-$F30),0)</f>
        <v/>
      </c>
      <c r="W30" s="19">
        <f>IF(AND(16&gt;$F30,16&lt;=$G30),$E30/($G30-$F30),0)</f>
        <v/>
      </c>
    </row>
    <row r="31">
      <c r="A31">
        <f>WBS!A31</f>
        <v/>
      </c>
      <c r="B31">
        <f>WBS!B31</f>
        <v/>
      </c>
      <c r="C31">
        <f>WBS!D31</f>
        <v/>
      </c>
      <c r="D31">
        <f>WBS!E31</f>
        <v/>
      </c>
      <c r="E31" s="19">
        <f>WBS!J31</f>
        <v/>
      </c>
      <c r="F31">
        <f>CPM!E17</f>
        <v/>
      </c>
      <c r="G31">
        <f>CPM!F17</f>
        <v/>
      </c>
      <c r="H31" s="19">
        <f>IF(AND(1&gt;$F31,1&lt;=$G31),$E31/($G31-$F31),0)</f>
        <v/>
      </c>
      <c r="I31" s="19">
        <f>IF(AND(2&gt;$F31,2&lt;=$G31),$E31/($G31-$F31),0)</f>
        <v/>
      </c>
      <c r="J31" s="19">
        <f>IF(AND(3&gt;$F31,3&lt;=$G31),$E31/($G31-$F31),0)</f>
        <v/>
      </c>
      <c r="K31" s="19">
        <f>IF(AND(4&gt;$F31,4&lt;=$G31),$E31/($G31-$F31),0)</f>
        <v/>
      </c>
      <c r="L31" s="19">
        <f>IF(AND(5&gt;$F31,5&lt;=$G31),$E31/($G31-$F31),0)</f>
        <v/>
      </c>
      <c r="M31" s="19">
        <f>IF(AND(6&gt;$F31,6&lt;=$G31),$E31/($G31-$F31),0)</f>
        <v/>
      </c>
      <c r="N31" s="19">
        <f>IF(AND(7&gt;$F31,7&lt;=$G31),$E31/($G31-$F31),0)</f>
        <v/>
      </c>
      <c r="O31" s="19">
        <f>IF(AND(8&gt;$F31,8&lt;=$G31),$E31/($G31-$F31),0)</f>
        <v/>
      </c>
      <c r="P31" s="19">
        <f>IF(AND(9&gt;$F31,9&lt;=$G31),$E31/($G31-$F31),0)</f>
        <v/>
      </c>
      <c r="Q31" s="19">
        <f>IF(AND(10&gt;$F31,10&lt;=$G31),$E31/($G31-$F31),0)</f>
        <v/>
      </c>
      <c r="R31" s="19">
        <f>IF(AND(11&gt;$F31,11&lt;=$G31),$E31/($G31-$F31),0)</f>
        <v/>
      </c>
      <c r="S31" s="19">
        <f>IF(AND(12&gt;$F31,12&lt;=$G31),$E31/($G31-$F31),0)</f>
        <v/>
      </c>
      <c r="T31" s="19">
        <f>IF(AND(13&gt;$F31,13&lt;=$G31),$E31/($G31-$F31),0)</f>
        <v/>
      </c>
      <c r="U31" s="19">
        <f>IF(AND(14&gt;$F31,14&lt;=$G31),$E31/($G31-$F31),0)</f>
        <v/>
      </c>
      <c r="V31" s="19">
        <f>IF(AND(15&gt;$F31,15&lt;=$G31),$E31/($G31-$F31),0)</f>
        <v/>
      </c>
      <c r="W31" s="19">
        <f>IF(AND(16&gt;$F31,16&lt;=$G31),$E31/($G31-$F31),0)</f>
        <v/>
      </c>
    </row>
    <row r="32">
      <c r="A32">
        <f>WBS!A32</f>
        <v/>
      </c>
      <c r="B32">
        <f>WBS!B32</f>
        <v/>
      </c>
      <c r="C32">
        <f>WBS!D32</f>
        <v/>
      </c>
      <c r="D32">
        <f>WBS!E32</f>
        <v/>
      </c>
      <c r="E32" s="19">
        <f>WBS!J32</f>
        <v/>
      </c>
      <c r="F32">
        <f>CPM!E17</f>
        <v/>
      </c>
      <c r="G32">
        <f>CPM!F17</f>
        <v/>
      </c>
      <c r="H32" s="19">
        <f>IF(AND(1&gt;$F32,1&lt;=$G32),$E32/($G32-$F32),0)</f>
        <v/>
      </c>
      <c r="I32" s="19">
        <f>IF(AND(2&gt;$F32,2&lt;=$G32),$E32/($G32-$F32),0)</f>
        <v/>
      </c>
      <c r="J32" s="19">
        <f>IF(AND(3&gt;$F32,3&lt;=$G32),$E32/($G32-$F32),0)</f>
        <v/>
      </c>
      <c r="K32" s="19">
        <f>IF(AND(4&gt;$F32,4&lt;=$G32),$E32/($G32-$F32),0)</f>
        <v/>
      </c>
      <c r="L32" s="19">
        <f>IF(AND(5&gt;$F32,5&lt;=$G32),$E32/($G32-$F32),0)</f>
        <v/>
      </c>
      <c r="M32" s="19">
        <f>IF(AND(6&gt;$F32,6&lt;=$G32),$E32/($G32-$F32),0)</f>
        <v/>
      </c>
      <c r="N32" s="19">
        <f>IF(AND(7&gt;$F32,7&lt;=$G32),$E32/($G32-$F32),0)</f>
        <v/>
      </c>
      <c r="O32" s="19">
        <f>IF(AND(8&gt;$F32,8&lt;=$G32),$E32/($G32-$F32),0)</f>
        <v/>
      </c>
      <c r="P32" s="19">
        <f>IF(AND(9&gt;$F32,9&lt;=$G32),$E32/($G32-$F32),0)</f>
        <v/>
      </c>
      <c r="Q32" s="19">
        <f>IF(AND(10&gt;$F32,10&lt;=$G32),$E32/($G32-$F32),0)</f>
        <v/>
      </c>
      <c r="R32" s="19">
        <f>IF(AND(11&gt;$F32,11&lt;=$G32),$E32/($G32-$F32),0)</f>
        <v/>
      </c>
      <c r="S32" s="19">
        <f>IF(AND(12&gt;$F32,12&lt;=$G32),$E32/($G32-$F32),0)</f>
        <v/>
      </c>
      <c r="T32" s="19">
        <f>IF(AND(13&gt;$F32,13&lt;=$G32),$E32/($G32-$F32),0)</f>
        <v/>
      </c>
      <c r="U32" s="19">
        <f>IF(AND(14&gt;$F32,14&lt;=$G32),$E32/($G32-$F32),0)</f>
        <v/>
      </c>
      <c r="V32" s="19">
        <f>IF(AND(15&gt;$F32,15&lt;=$G32),$E32/($G32-$F32),0)</f>
        <v/>
      </c>
      <c r="W32" s="19">
        <f>IF(AND(16&gt;$F32,16&lt;=$G32),$E32/($G32-$F32),0)</f>
        <v/>
      </c>
    </row>
    <row r="33">
      <c r="A33">
        <f>WBS!A33</f>
        <v/>
      </c>
      <c r="B33">
        <f>WBS!B33</f>
        <v/>
      </c>
      <c r="C33">
        <f>WBS!D33</f>
        <v/>
      </c>
      <c r="D33">
        <f>WBS!E33</f>
        <v/>
      </c>
      <c r="E33" s="19">
        <f>WBS!J33</f>
        <v/>
      </c>
      <c r="F33">
        <f>CPM!E18</f>
        <v/>
      </c>
      <c r="G33">
        <f>CPM!F18</f>
        <v/>
      </c>
      <c r="H33" s="19">
        <f>IF(AND(1&gt;$F33,1&lt;=$G33),$E33/($G33-$F33),0)</f>
        <v/>
      </c>
      <c r="I33" s="19">
        <f>IF(AND(2&gt;$F33,2&lt;=$G33),$E33/($G33-$F33),0)</f>
        <v/>
      </c>
      <c r="J33" s="19">
        <f>IF(AND(3&gt;$F33,3&lt;=$G33),$E33/($G33-$F33),0)</f>
        <v/>
      </c>
      <c r="K33" s="19">
        <f>IF(AND(4&gt;$F33,4&lt;=$G33),$E33/($G33-$F33),0)</f>
        <v/>
      </c>
      <c r="L33" s="19">
        <f>IF(AND(5&gt;$F33,5&lt;=$G33),$E33/($G33-$F33),0)</f>
        <v/>
      </c>
      <c r="M33" s="19">
        <f>IF(AND(6&gt;$F33,6&lt;=$G33),$E33/($G33-$F33),0)</f>
        <v/>
      </c>
      <c r="N33" s="19">
        <f>IF(AND(7&gt;$F33,7&lt;=$G33),$E33/($G33-$F33),0)</f>
        <v/>
      </c>
      <c r="O33" s="19">
        <f>IF(AND(8&gt;$F33,8&lt;=$G33),$E33/($G33-$F33),0)</f>
        <v/>
      </c>
      <c r="P33" s="19">
        <f>IF(AND(9&gt;$F33,9&lt;=$G33),$E33/($G33-$F33),0)</f>
        <v/>
      </c>
      <c r="Q33" s="19">
        <f>IF(AND(10&gt;$F33,10&lt;=$G33),$E33/($G33-$F33),0)</f>
        <v/>
      </c>
      <c r="R33" s="19">
        <f>IF(AND(11&gt;$F33,11&lt;=$G33),$E33/($G33-$F33),0)</f>
        <v/>
      </c>
      <c r="S33" s="19">
        <f>IF(AND(12&gt;$F33,12&lt;=$G33),$E33/($G33-$F33),0)</f>
        <v/>
      </c>
      <c r="T33" s="19">
        <f>IF(AND(13&gt;$F33,13&lt;=$G33),$E33/($G33-$F33),0)</f>
        <v/>
      </c>
      <c r="U33" s="19">
        <f>IF(AND(14&gt;$F33,14&lt;=$G33),$E33/($G33-$F33),0)</f>
        <v/>
      </c>
      <c r="V33" s="19">
        <f>IF(AND(15&gt;$F33,15&lt;=$G33),$E33/($G33-$F33),0)</f>
        <v/>
      </c>
      <c r="W33" s="19">
        <f>IF(AND(16&gt;$F33,16&lt;=$G33),$E33/($G33-$F33),0)</f>
        <v/>
      </c>
    </row>
    <row r="34">
      <c r="A34">
        <f>WBS!A34</f>
        <v/>
      </c>
      <c r="B34">
        <f>WBS!B34</f>
        <v/>
      </c>
      <c r="C34">
        <f>WBS!D34</f>
        <v/>
      </c>
      <c r="D34">
        <f>WBS!E34</f>
        <v/>
      </c>
      <c r="E34" s="19">
        <f>WBS!J34</f>
        <v/>
      </c>
      <c r="F34">
        <f>CPM!E18</f>
        <v/>
      </c>
      <c r="G34">
        <f>CPM!F18</f>
        <v/>
      </c>
      <c r="H34" s="19">
        <f>IF(AND(1&gt;$F34,1&lt;=$G34),$E34/($G34-$F34),0)</f>
        <v/>
      </c>
      <c r="I34" s="19">
        <f>IF(AND(2&gt;$F34,2&lt;=$G34),$E34/($G34-$F34),0)</f>
        <v/>
      </c>
      <c r="J34" s="19">
        <f>IF(AND(3&gt;$F34,3&lt;=$G34),$E34/($G34-$F34),0)</f>
        <v/>
      </c>
      <c r="K34" s="19">
        <f>IF(AND(4&gt;$F34,4&lt;=$G34),$E34/($G34-$F34),0)</f>
        <v/>
      </c>
      <c r="L34" s="19">
        <f>IF(AND(5&gt;$F34,5&lt;=$G34),$E34/($G34-$F34),0)</f>
        <v/>
      </c>
      <c r="M34" s="19">
        <f>IF(AND(6&gt;$F34,6&lt;=$G34),$E34/($G34-$F34),0)</f>
        <v/>
      </c>
      <c r="N34" s="19">
        <f>IF(AND(7&gt;$F34,7&lt;=$G34),$E34/($G34-$F34),0)</f>
        <v/>
      </c>
      <c r="O34" s="19">
        <f>IF(AND(8&gt;$F34,8&lt;=$G34),$E34/($G34-$F34),0)</f>
        <v/>
      </c>
      <c r="P34" s="19">
        <f>IF(AND(9&gt;$F34,9&lt;=$G34),$E34/($G34-$F34),0)</f>
        <v/>
      </c>
      <c r="Q34" s="19">
        <f>IF(AND(10&gt;$F34,10&lt;=$G34),$E34/($G34-$F34),0)</f>
        <v/>
      </c>
      <c r="R34" s="19">
        <f>IF(AND(11&gt;$F34,11&lt;=$G34),$E34/($G34-$F34),0)</f>
        <v/>
      </c>
      <c r="S34" s="19">
        <f>IF(AND(12&gt;$F34,12&lt;=$G34),$E34/($G34-$F34),0)</f>
        <v/>
      </c>
      <c r="T34" s="19">
        <f>IF(AND(13&gt;$F34,13&lt;=$G34),$E34/($G34-$F34),0)</f>
        <v/>
      </c>
      <c r="U34" s="19">
        <f>IF(AND(14&gt;$F34,14&lt;=$G34),$E34/($G34-$F34),0)</f>
        <v/>
      </c>
      <c r="V34" s="19">
        <f>IF(AND(15&gt;$F34,15&lt;=$G34),$E34/($G34-$F34),0)</f>
        <v/>
      </c>
      <c r="W34" s="19">
        <f>IF(AND(16&gt;$F34,16&lt;=$G34),$E34/($G34-$F34),0)</f>
        <v/>
      </c>
    </row>
    <row r="35">
      <c r="A35">
        <f>WBS!A35</f>
        <v/>
      </c>
      <c r="B35">
        <f>WBS!B35</f>
        <v/>
      </c>
      <c r="C35">
        <f>WBS!D35</f>
        <v/>
      </c>
      <c r="D35">
        <f>WBS!E35</f>
        <v/>
      </c>
      <c r="E35" s="19">
        <f>WBS!J35</f>
        <v/>
      </c>
      <c r="F35">
        <f>CPM!E18</f>
        <v/>
      </c>
      <c r="G35">
        <f>CPM!F18</f>
        <v/>
      </c>
      <c r="H35" s="19">
        <f>IF(AND(1&gt;$F35,1&lt;=$G35),$E35/($G35-$F35),0)</f>
        <v/>
      </c>
      <c r="I35" s="19">
        <f>IF(AND(2&gt;$F35,2&lt;=$G35),$E35/($G35-$F35),0)</f>
        <v/>
      </c>
      <c r="J35" s="19">
        <f>IF(AND(3&gt;$F35,3&lt;=$G35),$E35/($G35-$F35),0)</f>
        <v/>
      </c>
      <c r="K35" s="19">
        <f>IF(AND(4&gt;$F35,4&lt;=$G35),$E35/($G35-$F35),0)</f>
        <v/>
      </c>
      <c r="L35" s="19">
        <f>IF(AND(5&gt;$F35,5&lt;=$G35),$E35/($G35-$F35),0)</f>
        <v/>
      </c>
      <c r="M35" s="19">
        <f>IF(AND(6&gt;$F35,6&lt;=$G35),$E35/($G35-$F35),0)</f>
        <v/>
      </c>
      <c r="N35" s="19">
        <f>IF(AND(7&gt;$F35,7&lt;=$G35),$E35/($G35-$F35),0)</f>
        <v/>
      </c>
      <c r="O35" s="19">
        <f>IF(AND(8&gt;$F35,8&lt;=$G35),$E35/($G35-$F35),0)</f>
        <v/>
      </c>
      <c r="P35" s="19">
        <f>IF(AND(9&gt;$F35,9&lt;=$G35),$E35/($G35-$F35),0)</f>
        <v/>
      </c>
      <c r="Q35" s="19">
        <f>IF(AND(10&gt;$F35,10&lt;=$G35),$E35/($G35-$F35),0)</f>
        <v/>
      </c>
      <c r="R35" s="19">
        <f>IF(AND(11&gt;$F35,11&lt;=$G35),$E35/($G35-$F35),0)</f>
        <v/>
      </c>
      <c r="S35" s="19">
        <f>IF(AND(12&gt;$F35,12&lt;=$G35),$E35/($G35-$F35),0)</f>
        <v/>
      </c>
      <c r="T35" s="19">
        <f>IF(AND(13&gt;$F35,13&lt;=$G35),$E35/($G35-$F35),0)</f>
        <v/>
      </c>
      <c r="U35" s="19">
        <f>IF(AND(14&gt;$F35,14&lt;=$G35),$E35/($G35-$F35),0)</f>
        <v/>
      </c>
      <c r="V35" s="19">
        <f>IF(AND(15&gt;$F35,15&lt;=$G35),$E35/($G35-$F35),0)</f>
        <v/>
      </c>
      <c r="W35" s="19">
        <f>IF(AND(16&gt;$F35,16&lt;=$G35),$E35/($G35-$F35),0)</f>
        <v/>
      </c>
    </row>
    <row r="36">
      <c r="A36">
        <f>WBS!A36</f>
        <v/>
      </c>
      <c r="B36">
        <f>WBS!B36</f>
        <v/>
      </c>
      <c r="C36">
        <f>WBS!D36</f>
        <v/>
      </c>
      <c r="D36">
        <f>WBS!E36</f>
        <v/>
      </c>
      <c r="E36" s="19">
        <f>WBS!J36</f>
        <v/>
      </c>
      <c r="F36">
        <f>CPM!E19</f>
        <v/>
      </c>
      <c r="G36">
        <f>CPM!F19</f>
        <v/>
      </c>
      <c r="H36" s="19">
        <f>IF(AND(1&gt;$F36,1&lt;=$G36),$E36/($G36-$F36),0)</f>
        <v/>
      </c>
      <c r="I36" s="19">
        <f>IF(AND(2&gt;$F36,2&lt;=$G36),$E36/($G36-$F36),0)</f>
        <v/>
      </c>
      <c r="J36" s="19">
        <f>IF(AND(3&gt;$F36,3&lt;=$G36),$E36/($G36-$F36),0)</f>
        <v/>
      </c>
      <c r="K36" s="19">
        <f>IF(AND(4&gt;$F36,4&lt;=$G36),$E36/($G36-$F36),0)</f>
        <v/>
      </c>
      <c r="L36" s="19">
        <f>IF(AND(5&gt;$F36,5&lt;=$G36),$E36/($G36-$F36),0)</f>
        <v/>
      </c>
      <c r="M36" s="19">
        <f>IF(AND(6&gt;$F36,6&lt;=$G36),$E36/($G36-$F36),0)</f>
        <v/>
      </c>
      <c r="N36" s="19">
        <f>IF(AND(7&gt;$F36,7&lt;=$G36),$E36/($G36-$F36),0)</f>
        <v/>
      </c>
      <c r="O36" s="19">
        <f>IF(AND(8&gt;$F36,8&lt;=$G36),$E36/($G36-$F36),0)</f>
        <v/>
      </c>
      <c r="P36" s="19">
        <f>IF(AND(9&gt;$F36,9&lt;=$G36),$E36/($G36-$F36),0)</f>
        <v/>
      </c>
      <c r="Q36" s="19">
        <f>IF(AND(10&gt;$F36,10&lt;=$G36),$E36/($G36-$F36),0)</f>
        <v/>
      </c>
      <c r="R36" s="19">
        <f>IF(AND(11&gt;$F36,11&lt;=$G36),$E36/($G36-$F36),0)</f>
        <v/>
      </c>
      <c r="S36" s="19">
        <f>IF(AND(12&gt;$F36,12&lt;=$G36),$E36/($G36-$F36),0)</f>
        <v/>
      </c>
      <c r="T36" s="19">
        <f>IF(AND(13&gt;$F36,13&lt;=$G36),$E36/($G36-$F36),0)</f>
        <v/>
      </c>
      <c r="U36" s="19">
        <f>IF(AND(14&gt;$F36,14&lt;=$G36),$E36/($G36-$F36),0)</f>
        <v/>
      </c>
      <c r="V36" s="19">
        <f>IF(AND(15&gt;$F36,15&lt;=$G36),$E36/($G36-$F36),0)</f>
        <v/>
      </c>
      <c r="W36" s="19">
        <f>IF(AND(16&gt;$F36,16&lt;=$G36),$E36/($G36-$F36),0)</f>
        <v/>
      </c>
    </row>
    <row r="37">
      <c r="A37">
        <f>WBS!A37</f>
        <v/>
      </c>
      <c r="B37">
        <f>WBS!B37</f>
        <v/>
      </c>
      <c r="C37">
        <f>WBS!D37</f>
        <v/>
      </c>
      <c r="D37">
        <f>WBS!E37</f>
        <v/>
      </c>
      <c r="E37" s="19">
        <f>WBS!J37</f>
        <v/>
      </c>
      <c r="F37">
        <f>CPM!E19</f>
        <v/>
      </c>
      <c r="G37">
        <f>CPM!F19</f>
        <v/>
      </c>
      <c r="H37" s="19">
        <f>IF(AND(1&gt;$F37,1&lt;=$G37),$E37/($G37-$F37),0)</f>
        <v/>
      </c>
      <c r="I37" s="19">
        <f>IF(AND(2&gt;$F37,2&lt;=$G37),$E37/($G37-$F37),0)</f>
        <v/>
      </c>
      <c r="J37" s="19">
        <f>IF(AND(3&gt;$F37,3&lt;=$G37),$E37/($G37-$F37),0)</f>
        <v/>
      </c>
      <c r="K37" s="19">
        <f>IF(AND(4&gt;$F37,4&lt;=$G37),$E37/($G37-$F37),0)</f>
        <v/>
      </c>
      <c r="L37" s="19">
        <f>IF(AND(5&gt;$F37,5&lt;=$G37),$E37/($G37-$F37),0)</f>
        <v/>
      </c>
      <c r="M37" s="19">
        <f>IF(AND(6&gt;$F37,6&lt;=$G37),$E37/($G37-$F37),0)</f>
        <v/>
      </c>
      <c r="N37" s="19">
        <f>IF(AND(7&gt;$F37,7&lt;=$G37),$E37/($G37-$F37),0)</f>
        <v/>
      </c>
      <c r="O37" s="19">
        <f>IF(AND(8&gt;$F37,8&lt;=$G37),$E37/($G37-$F37),0)</f>
        <v/>
      </c>
      <c r="P37" s="19">
        <f>IF(AND(9&gt;$F37,9&lt;=$G37),$E37/($G37-$F37),0)</f>
        <v/>
      </c>
      <c r="Q37" s="19">
        <f>IF(AND(10&gt;$F37,10&lt;=$G37),$E37/($G37-$F37),0)</f>
        <v/>
      </c>
      <c r="R37" s="19">
        <f>IF(AND(11&gt;$F37,11&lt;=$G37),$E37/($G37-$F37),0)</f>
        <v/>
      </c>
      <c r="S37" s="19">
        <f>IF(AND(12&gt;$F37,12&lt;=$G37),$E37/($G37-$F37),0)</f>
        <v/>
      </c>
      <c r="T37" s="19">
        <f>IF(AND(13&gt;$F37,13&lt;=$G37),$E37/($G37-$F37),0)</f>
        <v/>
      </c>
      <c r="U37" s="19">
        <f>IF(AND(14&gt;$F37,14&lt;=$G37),$E37/($G37-$F37),0)</f>
        <v/>
      </c>
      <c r="V37" s="19">
        <f>IF(AND(15&gt;$F37,15&lt;=$G37),$E37/($G37-$F37),0)</f>
        <v/>
      </c>
      <c r="W37" s="19">
        <f>IF(AND(16&gt;$F37,16&lt;=$G37),$E37/($G37-$F37),0)</f>
        <v/>
      </c>
    </row>
    <row r="38">
      <c r="A38">
        <f>WBS!A38</f>
        <v/>
      </c>
      <c r="B38">
        <f>WBS!B38</f>
        <v/>
      </c>
      <c r="C38">
        <f>WBS!D38</f>
        <v/>
      </c>
      <c r="D38">
        <f>WBS!E38</f>
        <v/>
      </c>
      <c r="E38" s="19">
        <f>WBS!J38</f>
        <v/>
      </c>
      <c r="F38">
        <f>CPM!E20</f>
        <v/>
      </c>
      <c r="G38">
        <f>CPM!F20</f>
        <v/>
      </c>
      <c r="H38" s="19">
        <f>IF(AND(1&gt;$F38,1&lt;=$G38),$E38/($G38-$F38),0)</f>
        <v/>
      </c>
      <c r="I38" s="19">
        <f>IF(AND(2&gt;$F38,2&lt;=$G38),$E38/($G38-$F38),0)</f>
        <v/>
      </c>
      <c r="J38" s="19">
        <f>IF(AND(3&gt;$F38,3&lt;=$G38),$E38/($G38-$F38),0)</f>
        <v/>
      </c>
      <c r="K38" s="19">
        <f>IF(AND(4&gt;$F38,4&lt;=$G38),$E38/($G38-$F38),0)</f>
        <v/>
      </c>
      <c r="L38" s="19">
        <f>IF(AND(5&gt;$F38,5&lt;=$G38),$E38/($G38-$F38),0)</f>
        <v/>
      </c>
      <c r="M38" s="19">
        <f>IF(AND(6&gt;$F38,6&lt;=$G38),$E38/($G38-$F38),0)</f>
        <v/>
      </c>
      <c r="N38" s="19">
        <f>IF(AND(7&gt;$F38,7&lt;=$G38),$E38/($G38-$F38),0)</f>
        <v/>
      </c>
      <c r="O38" s="19">
        <f>IF(AND(8&gt;$F38,8&lt;=$G38),$E38/($G38-$F38),0)</f>
        <v/>
      </c>
      <c r="P38" s="19">
        <f>IF(AND(9&gt;$F38,9&lt;=$G38),$E38/($G38-$F38),0)</f>
        <v/>
      </c>
      <c r="Q38" s="19">
        <f>IF(AND(10&gt;$F38,10&lt;=$G38),$E38/($G38-$F38),0)</f>
        <v/>
      </c>
      <c r="R38" s="19">
        <f>IF(AND(11&gt;$F38,11&lt;=$G38),$E38/($G38-$F38),0)</f>
        <v/>
      </c>
      <c r="S38" s="19">
        <f>IF(AND(12&gt;$F38,12&lt;=$G38),$E38/($G38-$F38),0)</f>
        <v/>
      </c>
      <c r="T38" s="19">
        <f>IF(AND(13&gt;$F38,13&lt;=$G38),$E38/($G38-$F38),0)</f>
        <v/>
      </c>
      <c r="U38" s="19">
        <f>IF(AND(14&gt;$F38,14&lt;=$G38),$E38/($G38-$F38),0)</f>
        <v/>
      </c>
      <c r="V38" s="19">
        <f>IF(AND(15&gt;$F38,15&lt;=$G38),$E38/($G38-$F38),0)</f>
        <v/>
      </c>
      <c r="W38" s="19">
        <f>IF(AND(16&gt;$F38,16&lt;=$G38),$E38/($G38-$F38),0)</f>
        <v/>
      </c>
    </row>
    <row r="39">
      <c r="A39">
        <f>WBS!A39</f>
        <v/>
      </c>
      <c r="B39">
        <f>WBS!B39</f>
        <v/>
      </c>
      <c r="C39">
        <f>WBS!D39</f>
        <v/>
      </c>
      <c r="D39">
        <f>WBS!E39</f>
        <v/>
      </c>
      <c r="E39" s="19">
        <f>WBS!J39</f>
        <v/>
      </c>
      <c r="F39">
        <f>CPM!E20</f>
        <v/>
      </c>
      <c r="G39">
        <f>CPM!F20</f>
        <v/>
      </c>
      <c r="H39" s="19">
        <f>IF(AND(1&gt;$F39,1&lt;=$G39),$E39/($G39-$F39),0)</f>
        <v/>
      </c>
      <c r="I39" s="19">
        <f>IF(AND(2&gt;$F39,2&lt;=$G39),$E39/($G39-$F39),0)</f>
        <v/>
      </c>
      <c r="J39" s="19">
        <f>IF(AND(3&gt;$F39,3&lt;=$G39),$E39/($G39-$F39),0)</f>
        <v/>
      </c>
      <c r="K39" s="19">
        <f>IF(AND(4&gt;$F39,4&lt;=$G39),$E39/($G39-$F39),0)</f>
        <v/>
      </c>
      <c r="L39" s="19">
        <f>IF(AND(5&gt;$F39,5&lt;=$G39),$E39/($G39-$F39),0)</f>
        <v/>
      </c>
      <c r="M39" s="19">
        <f>IF(AND(6&gt;$F39,6&lt;=$G39),$E39/($G39-$F39),0)</f>
        <v/>
      </c>
      <c r="N39" s="19">
        <f>IF(AND(7&gt;$F39,7&lt;=$G39),$E39/($G39-$F39),0)</f>
        <v/>
      </c>
      <c r="O39" s="19">
        <f>IF(AND(8&gt;$F39,8&lt;=$G39),$E39/($G39-$F39),0)</f>
        <v/>
      </c>
      <c r="P39" s="19">
        <f>IF(AND(9&gt;$F39,9&lt;=$G39),$E39/($G39-$F39),0)</f>
        <v/>
      </c>
      <c r="Q39" s="19">
        <f>IF(AND(10&gt;$F39,10&lt;=$G39),$E39/($G39-$F39),0)</f>
        <v/>
      </c>
      <c r="R39" s="19">
        <f>IF(AND(11&gt;$F39,11&lt;=$G39),$E39/($G39-$F39),0)</f>
        <v/>
      </c>
      <c r="S39" s="19">
        <f>IF(AND(12&gt;$F39,12&lt;=$G39),$E39/($G39-$F39),0)</f>
        <v/>
      </c>
      <c r="T39" s="19">
        <f>IF(AND(13&gt;$F39,13&lt;=$G39),$E39/($G39-$F39),0)</f>
        <v/>
      </c>
      <c r="U39" s="19">
        <f>IF(AND(14&gt;$F39,14&lt;=$G39),$E39/($G39-$F39),0)</f>
        <v/>
      </c>
      <c r="V39" s="19">
        <f>IF(AND(15&gt;$F39,15&lt;=$G39),$E39/($G39-$F39),0)</f>
        <v/>
      </c>
      <c r="W39" s="19">
        <f>IF(AND(16&gt;$F39,16&lt;=$G39),$E39/($G39-$F39),0)</f>
        <v/>
      </c>
    </row>
    <row r="40">
      <c r="A40">
        <f>WBS!A40</f>
        <v/>
      </c>
      <c r="B40">
        <f>WBS!B40</f>
        <v/>
      </c>
      <c r="C40">
        <f>WBS!D40</f>
        <v/>
      </c>
      <c r="D40">
        <f>WBS!E40</f>
        <v/>
      </c>
      <c r="E40" s="19">
        <f>WBS!J40</f>
        <v/>
      </c>
      <c r="F40">
        <f>CPM!E21</f>
        <v/>
      </c>
      <c r="G40">
        <f>CPM!F21</f>
        <v/>
      </c>
      <c r="H40" s="19">
        <f>IF(AND(1&gt;$F40,1&lt;=$G40),$E40/($G40-$F40),0)</f>
        <v/>
      </c>
      <c r="I40" s="19">
        <f>IF(AND(2&gt;$F40,2&lt;=$G40),$E40/($G40-$F40),0)</f>
        <v/>
      </c>
      <c r="J40" s="19">
        <f>IF(AND(3&gt;$F40,3&lt;=$G40),$E40/($G40-$F40),0)</f>
        <v/>
      </c>
      <c r="K40" s="19">
        <f>IF(AND(4&gt;$F40,4&lt;=$G40),$E40/($G40-$F40),0)</f>
        <v/>
      </c>
      <c r="L40" s="19">
        <f>IF(AND(5&gt;$F40,5&lt;=$G40),$E40/($G40-$F40),0)</f>
        <v/>
      </c>
      <c r="M40" s="19">
        <f>IF(AND(6&gt;$F40,6&lt;=$G40),$E40/($G40-$F40),0)</f>
        <v/>
      </c>
      <c r="N40" s="19">
        <f>IF(AND(7&gt;$F40,7&lt;=$G40),$E40/($G40-$F40),0)</f>
        <v/>
      </c>
      <c r="O40" s="19">
        <f>IF(AND(8&gt;$F40,8&lt;=$G40),$E40/($G40-$F40),0)</f>
        <v/>
      </c>
      <c r="P40" s="19">
        <f>IF(AND(9&gt;$F40,9&lt;=$G40),$E40/($G40-$F40),0)</f>
        <v/>
      </c>
      <c r="Q40" s="19">
        <f>IF(AND(10&gt;$F40,10&lt;=$G40),$E40/($G40-$F40),0)</f>
        <v/>
      </c>
      <c r="R40" s="19">
        <f>IF(AND(11&gt;$F40,11&lt;=$G40),$E40/($G40-$F40),0)</f>
        <v/>
      </c>
      <c r="S40" s="19">
        <f>IF(AND(12&gt;$F40,12&lt;=$G40),$E40/($G40-$F40),0)</f>
        <v/>
      </c>
      <c r="T40" s="19">
        <f>IF(AND(13&gt;$F40,13&lt;=$G40),$E40/($G40-$F40),0)</f>
        <v/>
      </c>
      <c r="U40" s="19">
        <f>IF(AND(14&gt;$F40,14&lt;=$G40),$E40/($G40-$F40),0)</f>
        <v/>
      </c>
      <c r="V40" s="19">
        <f>IF(AND(15&gt;$F40,15&lt;=$G40),$E40/($G40-$F40),0)</f>
        <v/>
      </c>
      <c r="W40" s="19">
        <f>IF(AND(16&gt;$F40,16&lt;=$G40),$E40/($G40-$F40),0)</f>
        <v/>
      </c>
    </row>
    <row r="41">
      <c r="A41">
        <f>WBS!A41</f>
        <v/>
      </c>
      <c r="B41">
        <f>WBS!B41</f>
        <v/>
      </c>
      <c r="C41">
        <f>WBS!D41</f>
        <v/>
      </c>
      <c r="D41">
        <f>WBS!E41</f>
        <v/>
      </c>
      <c r="E41" s="19">
        <f>WBS!J41</f>
        <v/>
      </c>
      <c r="F41">
        <f>CPM!E22</f>
        <v/>
      </c>
      <c r="G41">
        <f>CPM!F22</f>
        <v/>
      </c>
      <c r="H41" s="19">
        <f>IF(AND(1&gt;$F41,1&lt;=$G41),$E41/($G41-$F41),0)</f>
        <v/>
      </c>
      <c r="I41" s="19">
        <f>IF(AND(2&gt;$F41,2&lt;=$G41),$E41/($G41-$F41),0)</f>
        <v/>
      </c>
      <c r="J41" s="19">
        <f>IF(AND(3&gt;$F41,3&lt;=$G41),$E41/($G41-$F41),0)</f>
        <v/>
      </c>
      <c r="K41" s="19">
        <f>IF(AND(4&gt;$F41,4&lt;=$G41),$E41/($G41-$F41),0)</f>
        <v/>
      </c>
      <c r="L41" s="19">
        <f>IF(AND(5&gt;$F41,5&lt;=$G41),$E41/($G41-$F41),0)</f>
        <v/>
      </c>
      <c r="M41" s="19">
        <f>IF(AND(6&gt;$F41,6&lt;=$G41),$E41/($G41-$F41),0)</f>
        <v/>
      </c>
      <c r="N41" s="19">
        <f>IF(AND(7&gt;$F41,7&lt;=$G41),$E41/($G41-$F41),0)</f>
        <v/>
      </c>
      <c r="O41" s="19">
        <f>IF(AND(8&gt;$F41,8&lt;=$G41),$E41/($G41-$F41),0)</f>
        <v/>
      </c>
      <c r="P41" s="19">
        <f>IF(AND(9&gt;$F41,9&lt;=$G41),$E41/($G41-$F41),0)</f>
        <v/>
      </c>
      <c r="Q41" s="19">
        <f>IF(AND(10&gt;$F41,10&lt;=$G41),$E41/($G41-$F41),0)</f>
        <v/>
      </c>
      <c r="R41" s="19">
        <f>IF(AND(11&gt;$F41,11&lt;=$G41),$E41/($G41-$F41),0)</f>
        <v/>
      </c>
      <c r="S41" s="19">
        <f>IF(AND(12&gt;$F41,12&lt;=$G41),$E41/($G41-$F41),0)</f>
        <v/>
      </c>
      <c r="T41" s="19">
        <f>IF(AND(13&gt;$F41,13&lt;=$G41),$E41/($G41-$F41),0)</f>
        <v/>
      </c>
      <c r="U41" s="19">
        <f>IF(AND(14&gt;$F41,14&lt;=$G41),$E41/($G41-$F41),0)</f>
        <v/>
      </c>
      <c r="V41" s="19">
        <f>IF(AND(15&gt;$F41,15&lt;=$G41),$E41/($G41-$F41),0)</f>
        <v/>
      </c>
      <c r="W41" s="19">
        <f>IF(AND(16&gt;$F41,16&lt;=$G41),$E41/($G41-$F41),0)</f>
        <v/>
      </c>
    </row>
    <row r="42">
      <c r="A42">
        <f>WBS!A42</f>
        <v/>
      </c>
      <c r="B42">
        <f>WBS!B42</f>
        <v/>
      </c>
      <c r="C42">
        <f>WBS!D42</f>
        <v/>
      </c>
      <c r="D42">
        <f>WBS!E42</f>
        <v/>
      </c>
      <c r="E42" s="19">
        <f>WBS!J42</f>
        <v/>
      </c>
      <c r="F42">
        <f>CPM!E21</f>
        <v/>
      </c>
      <c r="G42">
        <f>CPM!F21</f>
        <v/>
      </c>
      <c r="H42" s="19">
        <f>IF(AND(1&gt;$F42,1&lt;=$G42),$E42/($G42-$F42),0)</f>
        <v/>
      </c>
      <c r="I42" s="19">
        <f>IF(AND(2&gt;$F42,2&lt;=$G42),$E42/($G42-$F42),0)</f>
        <v/>
      </c>
      <c r="J42" s="19">
        <f>IF(AND(3&gt;$F42,3&lt;=$G42),$E42/($G42-$F42),0)</f>
        <v/>
      </c>
      <c r="K42" s="19">
        <f>IF(AND(4&gt;$F42,4&lt;=$G42),$E42/($G42-$F42),0)</f>
        <v/>
      </c>
      <c r="L42" s="19">
        <f>IF(AND(5&gt;$F42,5&lt;=$G42),$E42/($G42-$F42),0)</f>
        <v/>
      </c>
      <c r="M42" s="19">
        <f>IF(AND(6&gt;$F42,6&lt;=$G42),$E42/($G42-$F42),0)</f>
        <v/>
      </c>
      <c r="N42" s="19">
        <f>IF(AND(7&gt;$F42,7&lt;=$G42),$E42/($G42-$F42),0)</f>
        <v/>
      </c>
      <c r="O42" s="19">
        <f>IF(AND(8&gt;$F42,8&lt;=$G42),$E42/($G42-$F42),0)</f>
        <v/>
      </c>
      <c r="P42" s="19">
        <f>IF(AND(9&gt;$F42,9&lt;=$G42),$E42/($G42-$F42),0)</f>
        <v/>
      </c>
      <c r="Q42" s="19">
        <f>IF(AND(10&gt;$F42,10&lt;=$G42),$E42/($G42-$F42),0)</f>
        <v/>
      </c>
      <c r="R42" s="19">
        <f>IF(AND(11&gt;$F42,11&lt;=$G42),$E42/($G42-$F42),0)</f>
        <v/>
      </c>
      <c r="S42" s="19">
        <f>IF(AND(12&gt;$F42,12&lt;=$G42),$E42/($G42-$F42),0)</f>
        <v/>
      </c>
      <c r="T42" s="19">
        <f>IF(AND(13&gt;$F42,13&lt;=$G42),$E42/($G42-$F42),0)</f>
        <v/>
      </c>
      <c r="U42" s="19">
        <f>IF(AND(14&gt;$F42,14&lt;=$G42),$E42/($G42-$F42),0)</f>
        <v/>
      </c>
      <c r="V42" s="19">
        <f>IF(AND(15&gt;$F42,15&lt;=$G42),$E42/($G42-$F42),0)</f>
        <v/>
      </c>
      <c r="W42" s="19">
        <f>IF(AND(16&gt;$F42,16&lt;=$G42),$E42/($G42-$F42),0)</f>
        <v/>
      </c>
    </row>
    <row r="43">
      <c r="A43">
        <f>WBS!A43</f>
        <v/>
      </c>
      <c r="B43">
        <f>WBS!B43</f>
        <v/>
      </c>
      <c r="C43">
        <f>WBS!D43</f>
        <v/>
      </c>
      <c r="D43">
        <f>WBS!E43</f>
        <v/>
      </c>
      <c r="E43" s="19">
        <f>WBS!J43</f>
        <v/>
      </c>
      <c r="F43" t="n">
        <v>0</v>
      </c>
      <c r="G43" t="n">
        <v>16</v>
      </c>
      <c r="H43" s="19">
        <f>IF(AND(1&gt;$F43,1&lt;=$G43),$E43/($G43-$F43),0)</f>
        <v/>
      </c>
      <c r="I43" s="19">
        <f>IF(AND(2&gt;$F43,2&lt;=$G43),$E43/($G43-$F43),0)</f>
        <v/>
      </c>
      <c r="J43" s="19">
        <f>IF(AND(3&gt;$F43,3&lt;=$G43),$E43/($G43-$F43),0)</f>
        <v/>
      </c>
      <c r="K43" s="19">
        <f>IF(AND(4&gt;$F43,4&lt;=$G43),$E43/($G43-$F43),0)</f>
        <v/>
      </c>
      <c r="L43" s="19">
        <f>IF(AND(5&gt;$F43,5&lt;=$G43),$E43/($G43-$F43),0)</f>
        <v/>
      </c>
      <c r="M43" s="19">
        <f>IF(AND(6&gt;$F43,6&lt;=$G43),$E43/($G43-$F43),0)</f>
        <v/>
      </c>
      <c r="N43" s="19">
        <f>IF(AND(7&gt;$F43,7&lt;=$G43),$E43/($G43-$F43),0)</f>
        <v/>
      </c>
      <c r="O43" s="19">
        <f>IF(AND(8&gt;$F43,8&lt;=$G43),$E43/($G43-$F43),0)</f>
        <v/>
      </c>
      <c r="P43" s="19">
        <f>IF(AND(9&gt;$F43,9&lt;=$G43),$E43/($G43-$F43),0)</f>
        <v/>
      </c>
      <c r="Q43" s="19">
        <f>IF(AND(10&gt;$F43,10&lt;=$G43),$E43/($G43-$F43),0)</f>
        <v/>
      </c>
      <c r="R43" s="19">
        <f>IF(AND(11&gt;$F43,11&lt;=$G43),$E43/($G43-$F43),0)</f>
        <v/>
      </c>
      <c r="S43" s="19">
        <f>IF(AND(12&gt;$F43,12&lt;=$G43),$E43/($G43-$F43),0)</f>
        <v/>
      </c>
      <c r="T43" s="19">
        <f>IF(AND(13&gt;$F43,13&lt;=$G43),$E43/($G43-$F43),0)</f>
        <v/>
      </c>
      <c r="U43" s="19">
        <f>IF(AND(14&gt;$F43,14&lt;=$G43),$E43/($G43-$F43),0)</f>
        <v/>
      </c>
      <c r="V43" s="19">
        <f>IF(AND(15&gt;$F43,15&lt;=$G43),$E43/($G43-$F43),0)</f>
        <v/>
      </c>
      <c r="W43" s="19">
        <f>IF(AND(16&gt;$F43,16&lt;=$G43),$E43/($G43-$F43),0)</f>
        <v/>
      </c>
    </row>
    <row r="44">
      <c r="A44">
        <f>WBS!A44</f>
        <v/>
      </c>
      <c r="B44">
        <f>WBS!B44</f>
        <v/>
      </c>
      <c r="C44">
        <f>WBS!D44</f>
        <v/>
      </c>
      <c r="D44">
        <f>WBS!E44</f>
        <v/>
      </c>
      <c r="E44" s="19">
        <f>WBS!J44</f>
        <v/>
      </c>
      <c r="F44" t="n">
        <v>0</v>
      </c>
      <c r="G44" t="n">
        <v>16</v>
      </c>
      <c r="H44" s="19">
        <f>IF(AND(1&gt;$F44,1&lt;=$G44),$E44/($G44-$F44),0)</f>
        <v/>
      </c>
      <c r="I44" s="19">
        <f>IF(AND(2&gt;$F44,2&lt;=$G44),$E44/($G44-$F44),0)</f>
        <v/>
      </c>
      <c r="J44" s="19">
        <f>IF(AND(3&gt;$F44,3&lt;=$G44),$E44/($G44-$F44),0)</f>
        <v/>
      </c>
      <c r="K44" s="19">
        <f>IF(AND(4&gt;$F44,4&lt;=$G44),$E44/($G44-$F44),0)</f>
        <v/>
      </c>
      <c r="L44" s="19">
        <f>IF(AND(5&gt;$F44,5&lt;=$G44),$E44/($G44-$F44),0)</f>
        <v/>
      </c>
      <c r="M44" s="19">
        <f>IF(AND(6&gt;$F44,6&lt;=$G44),$E44/($G44-$F44),0)</f>
        <v/>
      </c>
      <c r="N44" s="19">
        <f>IF(AND(7&gt;$F44,7&lt;=$G44),$E44/($G44-$F44),0)</f>
        <v/>
      </c>
      <c r="O44" s="19">
        <f>IF(AND(8&gt;$F44,8&lt;=$G44),$E44/($G44-$F44),0)</f>
        <v/>
      </c>
      <c r="P44" s="19">
        <f>IF(AND(9&gt;$F44,9&lt;=$G44),$E44/($G44-$F44),0)</f>
        <v/>
      </c>
      <c r="Q44" s="19">
        <f>IF(AND(10&gt;$F44,10&lt;=$G44),$E44/($G44-$F44),0)</f>
        <v/>
      </c>
      <c r="R44" s="19">
        <f>IF(AND(11&gt;$F44,11&lt;=$G44),$E44/($G44-$F44),0)</f>
        <v/>
      </c>
      <c r="S44" s="19">
        <f>IF(AND(12&gt;$F44,12&lt;=$G44),$E44/($G44-$F44),0)</f>
        <v/>
      </c>
      <c r="T44" s="19">
        <f>IF(AND(13&gt;$F44,13&lt;=$G44),$E44/($G44-$F44),0)</f>
        <v/>
      </c>
      <c r="U44" s="19">
        <f>IF(AND(14&gt;$F44,14&lt;=$G44),$E44/($G44-$F44),0)</f>
        <v/>
      </c>
      <c r="V44" s="19">
        <f>IF(AND(15&gt;$F44,15&lt;=$G44),$E44/($G44-$F44),0)</f>
        <v/>
      </c>
      <c r="W44" s="19">
        <f>IF(AND(16&gt;$F44,16&lt;=$G44),$E44/($G44-$F44),0)</f>
        <v/>
      </c>
    </row>
    <row r="45">
      <c r="A45">
        <f>WBS!A45</f>
        <v/>
      </c>
      <c r="B45">
        <f>WBS!B45</f>
        <v/>
      </c>
      <c r="C45">
        <f>WBS!D45</f>
        <v/>
      </c>
      <c r="D45">
        <f>WBS!E45</f>
        <v/>
      </c>
      <c r="E45" s="19">
        <f>WBS!J45</f>
        <v/>
      </c>
      <c r="F45" t="n">
        <v>0</v>
      </c>
      <c r="G45" t="n">
        <v>16</v>
      </c>
      <c r="H45" s="19">
        <f>IF(OR(1=4,1=8,1=12,1=16),$E45/4,0)</f>
        <v/>
      </c>
      <c r="I45" s="19">
        <f>IF(OR(2=4,2=8,2=12,2=16),$E45/4,0)</f>
        <v/>
      </c>
      <c r="J45" s="19">
        <f>IF(OR(3=4,3=8,3=12,3=16),$E45/4,0)</f>
        <v/>
      </c>
      <c r="K45" s="19">
        <f>IF(OR(4=4,4=8,4=12,4=16),$E45/4,0)</f>
        <v/>
      </c>
      <c r="L45" s="19">
        <f>IF(OR(5=4,5=8,5=12,5=16),$E45/4,0)</f>
        <v/>
      </c>
      <c r="M45" s="19">
        <f>IF(OR(6=4,6=8,6=12,6=16),$E45/4,0)</f>
        <v/>
      </c>
      <c r="N45" s="19">
        <f>IF(OR(7=4,7=8,7=12,7=16),$E45/4,0)</f>
        <v/>
      </c>
      <c r="O45" s="19">
        <f>IF(OR(8=4,8=8,8=12,8=16),$E45/4,0)</f>
        <v/>
      </c>
      <c r="P45" s="19">
        <f>IF(OR(9=4,9=8,9=12,9=16),$E45/4,0)</f>
        <v/>
      </c>
      <c r="Q45" s="19">
        <f>IF(OR(10=4,10=8,10=12,10=16),$E45/4,0)</f>
        <v/>
      </c>
      <c r="R45" s="19">
        <f>IF(OR(11=4,11=8,11=12,11=16),$E45/4,0)</f>
        <v/>
      </c>
      <c r="S45" s="19">
        <f>IF(OR(12=4,12=8,12=12,12=16),$E45/4,0)</f>
        <v/>
      </c>
      <c r="T45" s="19">
        <f>IF(OR(13=4,13=8,13=12,13=16),$E45/4,0)</f>
        <v/>
      </c>
      <c r="U45" s="19">
        <f>IF(OR(14=4,14=8,14=12,14=16),$E45/4,0)</f>
        <v/>
      </c>
      <c r="V45" s="19">
        <f>IF(OR(15=4,15=8,15=12,15=16),$E45/4,0)</f>
        <v/>
      </c>
      <c r="W45" s="19">
        <f>IF(OR(16=4,16=8,16=12,16=16),$E45/4,0)</f>
        <v/>
      </c>
    </row>
    <row r="46">
      <c r="A46">
        <f>WBS!A46</f>
        <v/>
      </c>
      <c r="B46">
        <f>WBS!B46</f>
        <v/>
      </c>
      <c r="C46">
        <f>WBS!D46</f>
        <v/>
      </c>
      <c r="D46">
        <f>WBS!E46</f>
        <v/>
      </c>
      <c r="E46" s="19">
        <f>WBS!J46</f>
        <v/>
      </c>
      <c r="F46">
        <f>CPM!E23</f>
        <v/>
      </c>
      <c r="G46">
        <f>CPM!F23</f>
        <v/>
      </c>
      <c r="H46" s="19">
        <f>IF(AND(1&gt;$F46,1&lt;=$G46),$E46/($G46-$F46),0)</f>
        <v/>
      </c>
      <c r="I46" s="19">
        <f>IF(AND(2&gt;$F46,2&lt;=$G46),$E46/($G46-$F46),0)</f>
        <v/>
      </c>
      <c r="J46" s="19">
        <f>IF(AND(3&gt;$F46,3&lt;=$G46),$E46/($G46-$F46),0)</f>
        <v/>
      </c>
      <c r="K46" s="19">
        <f>IF(AND(4&gt;$F46,4&lt;=$G46),$E46/($G46-$F46),0)</f>
        <v/>
      </c>
      <c r="L46" s="19">
        <f>IF(AND(5&gt;$F46,5&lt;=$G46),$E46/($G46-$F46),0)</f>
        <v/>
      </c>
      <c r="M46" s="19">
        <f>IF(AND(6&gt;$F46,6&lt;=$G46),$E46/($G46-$F46),0)</f>
        <v/>
      </c>
      <c r="N46" s="19">
        <f>IF(AND(7&gt;$F46,7&lt;=$G46),$E46/($G46-$F46),0)</f>
        <v/>
      </c>
      <c r="O46" s="19">
        <f>IF(AND(8&gt;$F46,8&lt;=$G46),$E46/($G46-$F46),0)</f>
        <v/>
      </c>
      <c r="P46" s="19">
        <f>IF(AND(9&gt;$F46,9&lt;=$G46),$E46/($G46-$F46),0)</f>
        <v/>
      </c>
      <c r="Q46" s="19">
        <f>IF(AND(10&gt;$F46,10&lt;=$G46),$E46/($G46-$F46),0)</f>
        <v/>
      </c>
      <c r="R46" s="19">
        <f>IF(AND(11&gt;$F46,11&lt;=$G46),$E46/($G46-$F46),0)</f>
        <v/>
      </c>
      <c r="S46" s="19">
        <f>IF(AND(12&gt;$F46,12&lt;=$G46),$E46/($G46-$F46),0)</f>
        <v/>
      </c>
      <c r="T46" s="19">
        <f>IF(AND(13&gt;$F46,13&lt;=$G46),$E46/($G46-$F46),0)</f>
        <v/>
      </c>
      <c r="U46" s="19">
        <f>IF(AND(14&gt;$F46,14&lt;=$G46),$E46/($G46-$F46),0)</f>
        <v/>
      </c>
      <c r="V46" s="19">
        <f>IF(AND(15&gt;$F46,15&lt;=$G46),$E46/($G46-$F46),0)</f>
        <v/>
      </c>
      <c r="W46" s="19">
        <f>IF(AND(16&gt;$F46,16&lt;=$G46),$E46/($G46-$F46),0)</f>
        <v/>
      </c>
    </row>
    <row r="48">
      <c r="B48" s="4" t="inlineStr">
        <is>
          <t>Tổng giờ kế hoạch theo tuần</t>
        </is>
      </c>
      <c r="H48" s="19">
        <f>SUM(H5:H46)</f>
        <v/>
      </c>
      <c r="I48" s="19">
        <f>SUM(I5:I46)</f>
        <v/>
      </c>
      <c r="J48" s="19">
        <f>SUM(J5:J46)</f>
        <v/>
      </c>
      <c r="K48" s="19">
        <f>SUM(K5:K46)</f>
        <v/>
      </c>
      <c r="L48" s="19">
        <f>SUM(L5:L46)</f>
        <v/>
      </c>
      <c r="M48" s="19">
        <f>SUM(M5:M46)</f>
        <v/>
      </c>
      <c r="N48" s="19">
        <f>SUM(N5:N46)</f>
        <v/>
      </c>
      <c r="O48" s="19">
        <f>SUM(O5:O46)</f>
        <v/>
      </c>
      <c r="P48" s="19">
        <f>SUM(P5:P46)</f>
        <v/>
      </c>
      <c r="Q48" s="19">
        <f>SUM(Q5:Q46)</f>
        <v/>
      </c>
      <c r="R48" s="19">
        <f>SUM(R5:R46)</f>
        <v/>
      </c>
      <c r="S48" s="19">
        <f>SUM(S5:S46)</f>
        <v/>
      </c>
      <c r="T48" s="19">
        <f>SUM(T5:T46)</f>
        <v/>
      </c>
      <c r="U48" s="19">
        <f>SUM(U5:U46)</f>
        <v/>
      </c>
      <c r="V48" s="19">
        <f>SUM(V5:V46)</f>
        <v/>
      </c>
      <c r="W48" s="19">
        <f>SUM(W5:W46)</f>
        <v/>
      </c>
    </row>
    <row r="49">
      <c r="B49" t="inlineStr">
        <is>
          <t>Vai trò PM: Quản lý dự án, Scrum Master, Backend lead</t>
        </is>
      </c>
      <c r="C49" t="inlineStr">
        <is>
          <t>PM</t>
        </is>
      </c>
      <c r="E49" s="19">
        <f>SUMIF($C$5:$C$46,C49,$E$5:$E$46)</f>
        <v/>
      </c>
      <c r="H49" s="19">
        <f>SUMIF($C$5:$C$46,$C49,H$5:H$46)</f>
        <v/>
      </c>
      <c r="I49" s="19">
        <f>SUMIF($C$5:$C$46,$C49,I$5:I$46)</f>
        <v/>
      </c>
      <c r="J49" s="19">
        <f>SUMIF($C$5:$C$46,$C49,J$5:J$46)</f>
        <v/>
      </c>
      <c r="K49" s="19">
        <f>SUMIF($C$5:$C$46,$C49,K$5:K$46)</f>
        <v/>
      </c>
      <c r="L49" s="19">
        <f>SUMIF($C$5:$C$46,$C49,L$5:L$46)</f>
        <v/>
      </c>
      <c r="M49" s="19">
        <f>SUMIF($C$5:$C$46,$C49,M$5:M$46)</f>
        <v/>
      </c>
      <c r="N49" s="19">
        <f>SUMIF($C$5:$C$46,$C49,N$5:N$46)</f>
        <v/>
      </c>
      <c r="O49" s="19">
        <f>SUMIF($C$5:$C$46,$C49,O$5:O$46)</f>
        <v/>
      </c>
      <c r="P49" s="19">
        <f>SUMIF($C$5:$C$46,$C49,P$5:P$46)</f>
        <v/>
      </c>
      <c r="Q49" s="19">
        <f>SUMIF($C$5:$C$46,$C49,Q$5:Q$46)</f>
        <v/>
      </c>
      <c r="R49" s="19">
        <f>SUMIF($C$5:$C$46,$C49,R$5:R$46)</f>
        <v/>
      </c>
      <c r="S49" s="19">
        <f>SUMIF($C$5:$C$46,$C49,S$5:S$46)</f>
        <v/>
      </c>
      <c r="T49" s="19">
        <f>SUMIF($C$5:$C$46,$C49,T$5:T$46)</f>
        <v/>
      </c>
      <c r="U49" s="19">
        <f>SUMIF($C$5:$C$46,$C49,U$5:U$46)</f>
        <v/>
      </c>
      <c r="V49" s="19">
        <f>SUMIF($C$5:$C$46,$C49,V$5:V$46)</f>
        <v/>
      </c>
      <c r="W49" s="19">
        <f>SUMIF($C$5:$C$46,$C49,W$5:W$46)</f>
        <v/>
      </c>
    </row>
    <row r="50">
      <c r="B50" t="inlineStr">
        <is>
          <t>Vai trò FE: Frontend và AI/ML</t>
        </is>
      </c>
      <c r="C50" t="inlineStr">
        <is>
          <t>FE</t>
        </is>
      </c>
      <c r="E50" s="19">
        <f>SUMIF($C$5:$C$46,C50,$E$5:$E$46)</f>
        <v/>
      </c>
      <c r="H50" s="19">
        <f>SUMIF($C$5:$C$46,$C50,H$5:H$46)</f>
        <v/>
      </c>
      <c r="I50" s="19">
        <f>SUMIF($C$5:$C$46,$C50,I$5:I$46)</f>
        <v/>
      </c>
      <c r="J50" s="19">
        <f>SUMIF($C$5:$C$46,$C50,J$5:J$46)</f>
        <v/>
      </c>
      <c r="K50" s="19">
        <f>SUMIF($C$5:$C$46,$C50,K$5:K$46)</f>
        <v/>
      </c>
      <c r="L50" s="19">
        <f>SUMIF($C$5:$C$46,$C50,L$5:L$46)</f>
        <v/>
      </c>
      <c r="M50" s="19">
        <f>SUMIF($C$5:$C$46,$C50,M$5:M$46)</f>
        <v/>
      </c>
      <c r="N50" s="19">
        <f>SUMIF($C$5:$C$46,$C50,N$5:N$46)</f>
        <v/>
      </c>
      <c r="O50" s="19">
        <f>SUMIF($C$5:$C$46,$C50,O$5:O$46)</f>
        <v/>
      </c>
      <c r="P50" s="19">
        <f>SUMIF($C$5:$C$46,$C50,P$5:P$46)</f>
        <v/>
      </c>
      <c r="Q50" s="19">
        <f>SUMIF($C$5:$C$46,$C50,Q$5:Q$46)</f>
        <v/>
      </c>
      <c r="R50" s="19">
        <f>SUMIF($C$5:$C$46,$C50,R$5:R$46)</f>
        <v/>
      </c>
      <c r="S50" s="19">
        <f>SUMIF($C$5:$C$46,$C50,S$5:S$46)</f>
        <v/>
      </c>
      <c r="T50" s="19">
        <f>SUMIF($C$5:$C$46,$C50,T$5:T$46)</f>
        <v/>
      </c>
      <c r="U50" s="19">
        <f>SUMIF($C$5:$C$46,$C50,U$5:U$46)</f>
        <v/>
      </c>
      <c r="V50" s="19">
        <f>SUMIF($C$5:$C$46,$C50,V$5:V$46)</f>
        <v/>
      </c>
      <c r="W50" s="19">
        <f>SUMIF($C$5:$C$46,$C50,W$5:W$46)</f>
        <v/>
      </c>
    </row>
    <row r="51">
      <c r="B51" t="inlineStr">
        <is>
          <t>Vai trò BE: Backend và DevOps</t>
        </is>
      </c>
      <c r="C51" t="inlineStr">
        <is>
          <t>BE</t>
        </is>
      </c>
      <c r="E51" s="19">
        <f>SUMIF($C$5:$C$46,C51,$E$5:$E$46)</f>
        <v/>
      </c>
      <c r="H51" s="19">
        <f>SUMIF($C$5:$C$46,$C51,H$5:H$46)</f>
        <v/>
      </c>
      <c r="I51" s="19">
        <f>SUMIF($C$5:$C$46,$C51,I$5:I$46)</f>
        <v/>
      </c>
      <c r="J51" s="19">
        <f>SUMIF($C$5:$C$46,$C51,J$5:J$46)</f>
        <v/>
      </c>
      <c r="K51" s="19">
        <f>SUMIF($C$5:$C$46,$C51,K$5:K$46)</f>
        <v/>
      </c>
      <c r="L51" s="19">
        <f>SUMIF($C$5:$C$46,$C51,L$5:L$46)</f>
        <v/>
      </c>
      <c r="M51" s="19">
        <f>SUMIF($C$5:$C$46,$C51,M$5:M$46)</f>
        <v/>
      </c>
      <c r="N51" s="19">
        <f>SUMIF($C$5:$C$46,$C51,N$5:N$46)</f>
        <v/>
      </c>
      <c r="O51" s="19">
        <f>SUMIF($C$5:$C$46,$C51,O$5:O$46)</f>
        <v/>
      </c>
      <c r="P51" s="19">
        <f>SUMIF($C$5:$C$46,$C51,P$5:P$46)</f>
        <v/>
      </c>
      <c r="Q51" s="19">
        <f>SUMIF($C$5:$C$46,$C51,Q$5:Q$46)</f>
        <v/>
      </c>
      <c r="R51" s="19">
        <f>SUMIF($C$5:$C$46,$C51,R$5:R$46)</f>
        <v/>
      </c>
      <c r="S51" s="19">
        <f>SUMIF($C$5:$C$46,$C51,S$5:S$46)</f>
        <v/>
      </c>
      <c r="T51" s="19">
        <f>SUMIF($C$5:$C$46,$C51,T$5:T$46)</f>
        <v/>
      </c>
      <c r="U51" s="19">
        <f>SUMIF($C$5:$C$46,$C51,U$5:U$46)</f>
        <v/>
      </c>
      <c r="V51" s="19">
        <f>SUMIF($C$5:$C$46,$C51,V$5:V$46)</f>
        <v/>
      </c>
      <c r="W51" s="19">
        <f>SUMIF($C$5:$C$46,$C51,W$5:W$46)</f>
        <v/>
      </c>
    </row>
    <row r="52">
      <c r="B52" t="inlineStr">
        <is>
          <t>Vai trò QA: Phân tích nghiệp vụ và Kiểm thử (QA)</t>
        </is>
      </c>
      <c r="C52" t="inlineStr">
        <is>
          <t>QA</t>
        </is>
      </c>
      <c r="E52" s="19">
        <f>SUMIF($C$5:$C$46,C52,$E$5:$E$46)</f>
        <v/>
      </c>
      <c r="H52" s="19">
        <f>SUMIF($C$5:$C$46,$C52,H$5:H$46)</f>
        <v/>
      </c>
      <c r="I52" s="19">
        <f>SUMIF($C$5:$C$46,$C52,I$5:I$46)</f>
        <v/>
      </c>
      <c r="J52" s="19">
        <f>SUMIF($C$5:$C$46,$C52,J$5:J$46)</f>
        <v/>
      </c>
      <c r="K52" s="19">
        <f>SUMIF($C$5:$C$46,$C52,K$5:K$46)</f>
        <v/>
      </c>
      <c r="L52" s="19">
        <f>SUMIF($C$5:$C$46,$C52,L$5:L$46)</f>
        <v/>
      </c>
      <c r="M52" s="19">
        <f>SUMIF($C$5:$C$46,$C52,M$5:M$46)</f>
        <v/>
      </c>
      <c r="N52" s="19">
        <f>SUMIF($C$5:$C$46,$C52,N$5:N$46)</f>
        <v/>
      </c>
      <c r="O52" s="19">
        <f>SUMIF($C$5:$C$46,$C52,O$5:O$46)</f>
        <v/>
      </c>
      <c r="P52" s="19">
        <f>SUMIF($C$5:$C$46,$C52,P$5:P$46)</f>
        <v/>
      </c>
      <c r="Q52" s="19">
        <f>SUMIF($C$5:$C$46,$C52,Q$5:Q$46)</f>
        <v/>
      </c>
      <c r="R52" s="19">
        <f>SUMIF($C$5:$C$46,$C52,R$5:R$46)</f>
        <v/>
      </c>
      <c r="S52" s="19">
        <f>SUMIF($C$5:$C$46,$C52,S$5:S$46)</f>
        <v/>
      </c>
      <c r="T52" s="19">
        <f>SUMIF($C$5:$C$46,$C52,T$5:T$46)</f>
        <v/>
      </c>
      <c r="U52" s="19">
        <f>SUMIF($C$5:$C$46,$C52,U$5:U$46)</f>
        <v/>
      </c>
      <c r="V52" s="19">
        <f>SUMIF($C$5:$C$46,$C52,V$5:V$46)</f>
        <v/>
      </c>
      <c r="W52" s="19">
        <f>SUMIF($C$5:$C$46,$C52,W$5:W$46)</f>
        <v/>
      </c>
    </row>
    <row r="53">
      <c r="B53" t="inlineStr">
        <is>
          <t>Năng lực nhóm (giờ/tuần)</t>
        </is>
      </c>
      <c r="H53">
        <f>GiaDinh!$B$7*GiaDinh!$B$8</f>
        <v/>
      </c>
      <c r="I53">
        <f>GiaDinh!$B$7*GiaDinh!$B$8</f>
        <v/>
      </c>
      <c r="J53">
        <f>GiaDinh!$B$7*GiaDinh!$B$8</f>
        <v/>
      </c>
      <c r="K53">
        <f>GiaDinh!$B$7*GiaDinh!$B$8</f>
        <v/>
      </c>
      <c r="L53">
        <f>GiaDinh!$B$7*GiaDinh!$B$8</f>
        <v/>
      </c>
      <c r="M53">
        <f>GiaDinh!$B$7*GiaDinh!$B$8</f>
        <v/>
      </c>
      <c r="N53">
        <f>GiaDinh!$B$7*GiaDinh!$B$8</f>
        <v/>
      </c>
      <c r="O53">
        <f>GiaDinh!$B$7*GiaDinh!$B$8</f>
        <v/>
      </c>
      <c r="P53">
        <f>GiaDinh!$B$7*GiaDinh!$B$8</f>
        <v/>
      </c>
      <c r="Q53">
        <f>GiaDinh!$B$7*GiaDinh!$B$8</f>
        <v/>
      </c>
      <c r="R53">
        <f>GiaDinh!$B$7*GiaDinh!$B$8</f>
        <v/>
      </c>
      <c r="S53">
        <f>GiaDinh!$B$7*GiaDinh!$B$8</f>
        <v/>
      </c>
      <c r="T53">
        <f>GiaDinh!$B$7*GiaDinh!$B$8</f>
        <v/>
      </c>
      <c r="U53">
        <f>GiaDinh!$B$7*GiaDinh!$B$8</f>
        <v/>
      </c>
      <c r="V53">
        <f>GiaDinh!$B$7*GiaDinh!$B$8</f>
        <v/>
      </c>
      <c r="W53">
        <f>GiaDinh!$B$7*GiaDinh!$B$8</f>
        <v/>
      </c>
    </row>
    <row r="54">
      <c r="B54" s="4" t="inlineStr">
        <is>
          <t>Mức sử dụng nhóm</t>
        </is>
      </c>
      <c r="H54" s="26">
        <f>H48/H53</f>
        <v/>
      </c>
      <c r="I54" s="26">
        <f>I48/I53</f>
        <v/>
      </c>
      <c r="J54" s="26">
        <f>J48/J53</f>
        <v/>
      </c>
      <c r="K54" s="26">
        <f>K48/K53</f>
        <v/>
      </c>
      <c r="L54" s="26">
        <f>L48/L53</f>
        <v/>
      </c>
      <c r="M54" s="26">
        <f>M48/M53</f>
        <v/>
      </c>
      <c r="N54" s="26">
        <f>N48/N53</f>
        <v/>
      </c>
      <c r="O54" s="26">
        <f>O48/O53</f>
        <v/>
      </c>
      <c r="P54" s="26">
        <f>P48/P53</f>
        <v/>
      </c>
      <c r="Q54" s="26">
        <f>Q48/Q53</f>
        <v/>
      </c>
      <c r="R54" s="26">
        <f>R48/R53</f>
        <v/>
      </c>
      <c r="S54" s="26">
        <f>S48/S53</f>
        <v/>
      </c>
      <c r="T54" s="26">
        <f>T48/T53</f>
        <v/>
      </c>
      <c r="U54" s="26">
        <f>U48/U53</f>
        <v/>
      </c>
      <c r="V54" s="26">
        <f>V48/V53</f>
        <v/>
      </c>
      <c r="W54" s="26">
        <f>W48/W53</f>
        <v/>
      </c>
    </row>
    <row r="55">
      <c r="B55" s="4" t="inlineStr">
        <is>
          <t>Tải tối đa một vai trò (so với năng lực 1 người)</t>
        </is>
      </c>
      <c r="H55" s="26">
        <f>MAX(H49:H52)/GiaDinh!$B$7</f>
        <v/>
      </c>
      <c r="I55" s="26">
        <f>MAX(I49:I52)/GiaDinh!$B$7</f>
        <v/>
      </c>
      <c r="J55" s="26">
        <f>MAX(J49:J52)/GiaDinh!$B$7</f>
        <v/>
      </c>
      <c r="K55" s="26">
        <f>MAX(K49:K52)/GiaDinh!$B$7</f>
        <v/>
      </c>
      <c r="L55" s="26">
        <f>MAX(L49:L52)/GiaDinh!$B$7</f>
        <v/>
      </c>
      <c r="M55" s="26">
        <f>MAX(M49:M52)/GiaDinh!$B$7</f>
        <v/>
      </c>
      <c r="N55" s="26">
        <f>MAX(N49:N52)/GiaDinh!$B$7</f>
        <v/>
      </c>
      <c r="O55" s="26">
        <f>MAX(O49:O52)/GiaDinh!$B$7</f>
        <v/>
      </c>
      <c r="P55" s="26">
        <f>MAX(P49:P52)/GiaDinh!$B$7</f>
        <v/>
      </c>
      <c r="Q55" s="26">
        <f>MAX(Q49:Q52)/GiaDinh!$B$7</f>
        <v/>
      </c>
      <c r="R55" s="26">
        <f>MAX(R49:R52)/GiaDinh!$B$7</f>
        <v/>
      </c>
      <c r="S55" s="26">
        <f>MAX(S49:S52)/GiaDinh!$B$7</f>
        <v/>
      </c>
      <c r="T55" s="26">
        <f>MAX(T49:T52)/GiaDinh!$B$7</f>
        <v/>
      </c>
      <c r="U55" s="26">
        <f>MAX(U49:U52)/GiaDinh!$B$7</f>
        <v/>
      </c>
      <c r="V55" s="26">
        <f>MAX(V49:V52)/GiaDinh!$B$7</f>
        <v/>
      </c>
      <c r="W55" s="26">
        <f>MAX(W49:W52)/GiaDinh!$B$7</f>
        <v/>
      </c>
    </row>
    <row r="57">
      <c r="B57" s="4" t="inlineStr">
        <is>
          <t>PV tuần (đ)</t>
        </is>
      </c>
      <c r="H57" s="18">
        <f>H48*GiaDinh!$B$5</f>
        <v/>
      </c>
      <c r="I57" s="18">
        <f>I48*GiaDinh!$B$5</f>
        <v/>
      </c>
      <c r="J57" s="18">
        <f>J48*GiaDinh!$B$5</f>
        <v/>
      </c>
      <c r="K57" s="18">
        <f>K48*GiaDinh!$B$5</f>
        <v/>
      </c>
      <c r="L57" s="18">
        <f>L48*GiaDinh!$B$5</f>
        <v/>
      </c>
      <c r="M57" s="18">
        <f>M48*GiaDinh!$B$5</f>
        <v/>
      </c>
      <c r="N57" s="18">
        <f>N48*GiaDinh!$B$5</f>
        <v/>
      </c>
      <c r="O57" s="18">
        <f>O48*GiaDinh!$B$5</f>
        <v/>
      </c>
      <c r="P57" s="18">
        <f>P48*GiaDinh!$B$5</f>
        <v/>
      </c>
      <c r="Q57" s="18">
        <f>Q48*GiaDinh!$B$5</f>
        <v/>
      </c>
      <c r="R57" s="18">
        <f>R48*GiaDinh!$B$5</f>
        <v/>
      </c>
      <c r="S57" s="18">
        <f>S48*GiaDinh!$B$5</f>
        <v/>
      </c>
      <c r="T57" s="18">
        <f>T48*GiaDinh!$B$5</f>
        <v/>
      </c>
      <c r="U57" s="18">
        <f>U48*GiaDinh!$B$5</f>
        <v/>
      </c>
      <c r="V57" s="18">
        <f>V48*GiaDinh!$B$5</f>
        <v/>
      </c>
      <c r="W57" s="18">
        <f>W48*GiaDinh!$B$5</f>
        <v/>
      </c>
    </row>
    <row r="58">
      <c r="B58" s="4" t="inlineStr">
        <is>
          <t>PV tích luỹ (đ)</t>
        </is>
      </c>
      <c r="H58" s="18">
        <f>H57</f>
        <v/>
      </c>
      <c r="I58" s="18">
        <f>I57+H58</f>
        <v/>
      </c>
      <c r="J58" s="18">
        <f>J57+I58</f>
        <v/>
      </c>
      <c r="K58" s="18">
        <f>K57+J58</f>
        <v/>
      </c>
      <c r="L58" s="18">
        <f>L57+K58</f>
        <v/>
      </c>
      <c r="M58" s="18">
        <f>M57+L58</f>
        <v/>
      </c>
      <c r="N58" s="18">
        <f>N57+M58</f>
        <v/>
      </c>
      <c r="O58" s="18">
        <f>O57+N58</f>
        <v/>
      </c>
      <c r="P58" s="18">
        <f>P57+O58</f>
        <v/>
      </c>
      <c r="Q58" s="18">
        <f>Q57+P58</f>
        <v/>
      </c>
      <c r="R58" s="18">
        <f>R57+Q58</f>
        <v/>
      </c>
      <c r="S58" s="18">
        <f>S57+R58</f>
        <v/>
      </c>
      <c r="T58" s="18">
        <f>T57+S58</f>
        <v/>
      </c>
      <c r="U58" s="18">
        <f>U57+T58</f>
        <v/>
      </c>
      <c r="V58" s="18">
        <f>V57+U58</f>
        <v/>
      </c>
      <c r="W58" s="18">
        <f>W57+V58</f>
        <v/>
      </c>
    </row>
  </sheetData>
  <conditionalFormatting sqref="H55:W55">
    <cfRule type="cellIs" priority="1" operator="greaterThan" dxfId="3">
      <formula>1.15</formula>
    </cfRule>
    <cfRule type="cellIs" priority="2" operator="between" dxfId="4">
      <formula>1.0001</formula>
      <formula>1.15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2" customWidth="1" min="4" max="4"/>
    <col width="12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16" customWidth="1" min="11" max="11"/>
    <col width="14" customWidth="1" min="12" max="12"/>
    <col width="14" customWidth="1" min="13" max="13"/>
    <col width="54" customWidth="1" min="14" max="14"/>
    <col width="26" customWidth="1" min="15" max="15"/>
    <col width="16" customWidth="1" min="16" max="16"/>
    <col width="20" customWidth="1" min="17" max="17"/>
  </cols>
  <sheetData>
    <row r="1">
      <c r="A1" s="1" t="inlineStr">
        <is>
          <t>Sổ rủi ro</t>
        </is>
      </c>
    </row>
    <row r="2">
      <c r="A2" s="2" t="inlineStr">
        <is>
          <t>Điểm = Xác suất x Tác động (thang 1-5). Xác suất rời rạc: 1=10%, 2=30%, 3=50%, 4=70%, 5=90%. EMV = Tổn thất x Xác suất.</t>
        </is>
      </c>
    </row>
    <row r="4" ht="32" customHeight="1">
      <c r="A4" s="3" t="inlineStr">
        <is>
          <t>Mã</t>
        </is>
      </c>
      <c r="B4" s="3" t="inlineStr">
        <is>
          <t>Rủi ro</t>
        </is>
      </c>
      <c r="C4" s="3" t="inlineStr">
        <is>
          <t>Nguyên nhân</t>
        </is>
      </c>
      <c r="D4" s="3" t="inlineStr">
        <is>
          <t>Hậu quả</t>
        </is>
      </c>
      <c r="E4" s="3" t="inlineStr">
        <is>
          <t>Nhóm</t>
        </is>
      </c>
      <c r="F4" s="3" t="inlineStr">
        <is>
          <t>P (1-5)</t>
        </is>
      </c>
      <c r="G4" s="3" t="inlineStr">
        <is>
          <t>I (1-5)</t>
        </is>
      </c>
      <c r="H4" s="3" t="inlineStr">
        <is>
          <t>Điểm</t>
        </is>
      </c>
      <c r="I4" s="3" t="inlineStr">
        <is>
          <t>Mức</t>
        </is>
      </c>
      <c r="J4" s="3" t="inlineStr">
        <is>
          <t>% xác suất</t>
        </is>
      </c>
      <c r="K4" s="3" t="inlineStr">
        <is>
          <t>Tổn thất nếu xảy ra (đ)</t>
        </is>
      </c>
      <c r="L4" s="3" t="inlineStr">
        <is>
          <t>EMV (đ)</t>
        </is>
      </c>
      <c r="M4" s="3" t="inlineStr">
        <is>
          <t>Chiến lược</t>
        </is>
      </c>
      <c r="N4" s="3" t="inlineStr">
        <is>
          <t>Kế hoạch ứng phó</t>
        </is>
      </c>
      <c r="O4" s="3" t="inlineStr">
        <is>
          <t>Dấu hiệu kích hoạt</t>
        </is>
      </c>
      <c r="P4" s="3" t="inlineStr">
        <is>
          <t>Chủ sở hữu</t>
        </is>
      </c>
      <c r="Q4" s="3" t="inlineStr">
        <is>
          <t>Trạng thái</t>
        </is>
      </c>
    </row>
    <row r="5">
      <c r="A5" s="27" t="inlineStr">
        <is>
          <t>R1</t>
        </is>
      </c>
      <c r="B5" s="27" t="inlineStr">
        <is>
          <t>Hạ tầng miễn phí ngủ khi demo</t>
        </is>
      </c>
      <c r="C5" s="27" t="inlineStr">
        <is>
          <t>Render free ngủ sau 15 phút, Neon tạm dừng sau 5 phút</t>
        </is>
      </c>
      <c r="D5" s="27" t="inlineStr">
        <is>
          <t>Lần mở đầu chậm khoảng 1 phút, demo kém ấn tượng</t>
        </is>
      </c>
      <c r="E5" s="27" t="inlineStr">
        <is>
          <t>Kỹ thuật</t>
        </is>
      </c>
      <c r="F5" s="28" t="n">
        <v>5</v>
      </c>
      <c r="G5" s="28" t="n">
        <v>3</v>
      </c>
      <c r="H5" s="29">
        <f>F5*G5</f>
        <v/>
      </c>
      <c r="I5" s="29">
        <f>IF(H5&gt;=15,"Cao",IF(H5&gt;=8,"Trung bình","Thấp"))</f>
        <v/>
      </c>
      <c r="J5" s="30">
        <f>CHOOSE(F5,0.1,0.3,0.5,0.7,0.9)</f>
        <v/>
      </c>
      <c r="K5" s="31" t="n">
        <v>300000</v>
      </c>
      <c r="L5" s="32">
        <f>K5*J5</f>
        <v/>
      </c>
      <c r="M5" s="27" t="inlineStr">
        <is>
          <t>Giảm thiểu</t>
        </is>
      </c>
      <c r="N5" s="27" t="inlineStr">
        <is>
          <t>Đánh thức dịch vụ trước demo 5 phút; backend có fallback khi AI chưa nạp; nêu rõ hạn chế; sẵn phương án trả phí</t>
        </is>
      </c>
      <c r="O5" s="27" t="inlineStr">
        <is>
          <t>Phản hồi /health &gt; 10 giây</t>
        </is>
      </c>
      <c r="P5" s="27" t="inlineStr">
        <is>
          <t>Quản lý dự án</t>
        </is>
      </c>
      <c r="Q5" s="27" t="inlineStr">
        <is>
          <t>Đã xảy ra, đã kiểm soát</t>
        </is>
      </c>
    </row>
    <row r="6">
      <c r="A6" s="27" t="inlineStr">
        <is>
          <t>R2</t>
        </is>
      </c>
      <c r="B6" s="27" t="inlineStr">
        <is>
          <t>Google Books giới hạn tần suất, thiếu mô tả</t>
        </is>
      </c>
      <c r="C6" s="27" t="inlineStr">
        <is>
          <t>Gọi API không khoá, giới hạn theo IP</t>
        </is>
      </c>
      <c r="D6" s="27" t="inlineStr">
        <is>
          <t>Không nhập được mô tả sách, tính năng nhập ISBN chưa kiểm thử với dữ liệu thật</t>
        </is>
      </c>
      <c r="E6" s="27" t="inlineStr">
        <is>
          <t>Kỹ thuật</t>
        </is>
      </c>
      <c r="F6" s="28" t="n">
        <v>4</v>
      </c>
      <c r="G6" s="28" t="n">
        <v>3</v>
      </c>
      <c r="H6" s="29">
        <f>F6*G6</f>
        <v/>
      </c>
      <c r="I6" s="29">
        <f>IF(H6&gt;=15,"Cao",IF(H6&gt;=8,"Trung bình","Thấp"))</f>
        <v/>
      </c>
      <c r="J6" s="30">
        <f>CHOOSE(F6,0.1,0.3,0.5,0.7,0.9)</f>
        <v/>
      </c>
      <c r="K6" s="31" t="n">
        <v>500000</v>
      </c>
      <c r="L6" s="32">
        <f>K6*J6</f>
        <v/>
      </c>
      <c r="M6" s="27" t="inlineStr">
        <is>
          <t>Né tránh</t>
        </is>
      </c>
      <c r="N6" s="27" t="inlineStr">
        <is>
          <t>Dùng goodbooks-10k làm nguồn chính; Google Books chỉ bổ sung khi có khoá; nhập ISBN có unit test dữ liệu giả</t>
        </is>
      </c>
      <c r="O6" s="27" t="inlineStr">
        <is>
          <t>Tỉ lệ 429 &gt; 20%</t>
        </is>
      </c>
      <c r="P6" s="27" t="inlineStr">
        <is>
          <t>Backend lead</t>
        </is>
      </c>
      <c r="Q6" s="27" t="inlineStr">
        <is>
          <t>Đã xảy ra</t>
        </is>
      </c>
    </row>
    <row r="7">
      <c r="A7" s="27" t="inlineStr">
        <is>
          <t>R3</t>
        </is>
      </c>
      <c r="B7" s="27" t="inlineStr">
        <is>
          <t>Độ chính xác mô hình AI thấp</t>
        </is>
      </c>
      <c r="C7" s="27" t="inlineStr">
        <is>
          <t>Dữ liệu mượn trả mô phỏng, ít đặc trưng</t>
        </is>
      </c>
      <c r="D7" s="27" t="inlineStr">
        <is>
          <t>Gợi ý và dự báo trễ không đạt ngưỡng nghiệm thu</t>
        </is>
      </c>
      <c r="E7" s="27" t="inlineStr">
        <is>
          <t>Kỹ thuật</t>
        </is>
      </c>
      <c r="F7" s="28" t="n">
        <v>3</v>
      </c>
      <c r="G7" s="28" t="n">
        <v>4</v>
      </c>
      <c r="H7" s="29">
        <f>F7*G7</f>
        <v/>
      </c>
      <c r="I7" s="29">
        <f>IF(H7&gt;=15,"Cao",IF(H7&gt;=8,"Trung bình","Thấp"))</f>
        <v/>
      </c>
      <c r="J7" s="30">
        <f>CHOOSE(F7,0.1,0.3,0.5,0.7,0.9)</f>
        <v/>
      </c>
      <c r="K7" s="31" t="n">
        <v>800000</v>
      </c>
      <c r="L7" s="32">
        <f>K7*J7</f>
        <v/>
      </c>
      <c r="M7" s="27" t="inlineStr">
        <is>
          <t>Giảm thiểu</t>
        </is>
      </c>
      <c r="N7" s="27" t="inlineStr">
        <is>
          <t>Đặt ngưỡng từ đầu (Precision@5 ≥ 0,15; ROC-AUC ≥ 0,70); so hai mô hình; fallback sách mượn nhiều</t>
        </is>
      </c>
      <c r="O7" s="27" t="inlineStr">
        <is>
          <t>Chỉ số dưới ngưỡng sau lần huấn luyện đầu</t>
        </is>
      </c>
      <c r="P7" s="27" t="inlineStr">
        <is>
          <t>Frontend và AI</t>
        </is>
      </c>
      <c r="Q7" s="27" t="inlineStr">
        <is>
          <t>Đã đạt (0,309 và 0,76)</t>
        </is>
      </c>
    </row>
    <row r="8">
      <c r="A8" s="27" t="inlineStr">
        <is>
          <t>R4</t>
        </is>
      </c>
      <c r="B8" s="27" t="inlineStr">
        <is>
          <t>Độ bao phủ kiểm thử không đạt 80%</t>
        </is>
      </c>
      <c r="C8" s="27" t="inlineStr">
        <is>
          <t>Quy tắc nghiệp vụ phức tạp, mock khác thực tế</t>
        </is>
      </c>
      <c r="D8" s="27" t="inlineStr">
        <is>
          <t>Không qua cổng chất lượng, phải viết bù cuối dự án</t>
        </is>
      </c>
      <c r="E8" s="27" t="inlineStr">
        <is>
          <t>Chất lượng</t>
        </is>
      </c>
      <c r="F8" s="28" t="n">
        <v>2</v>
      </c>
      <c r="G8" s="28" t="n">
        <v>4</v>
      </c>
      <c r="H8" s="29">
        <f>F8*G8</f>
        <v/>
      </c>
      <c r="I8" s="29">
        <f>IF(H8&gt;=15,"Cao",IF(H8&gt;=8,"Trung bình","Thấp"))</f>
        <v/>
      </c>
      <c r="J8" s="30">
        <f>CHOOSE(F8,0.1,0.3,0.5,0.7,0.9)</f>
        <v/>
      </c>
      <c r="K8" s="31" t="n">
        <v>500000</v>
      </c>
      <c r="L8" s="32">
        <f>K8*J8</f>
        <v/>
      </c>
      <c r="M8" s="27" t="inlineStr">
        <is>
          <t>Giảm thiểu</t>
        </is>
      </c>
      <c r="N8" s="27" t="inlineStr">
        <is>
          <t>Ép ngưỡng 80% trong CI; viết test song song khi code; e2e trên PostgreSQL thật</t>
        </is>
      </c>
      <c r="O8" s="27" t="inlineStr">
        <is>
          <t>Coverage nhánh &lt; 82% ở sprint giữa</t>
        </is>
      </c>
      <c r="P8" s="27" t="inlineStr">
        <is>
          <t>QA</t>
        </is>
      </c>
      <c r="Q8" s="27" t="inlineStr">
        <is>
          <t>Đã đạt (98,75% dòng)</t>
        </is>
      </c>
    </row>
    <row r="9">
      <c r="A9" s="27" t="inlineStr">
        <is>
          <t>R5</t>
        </is>
      </c>
      <c r="B9" s="27" t="inlineStr">
        <is>
          <t>Phình phạm vi (scope creep)</t>
        </is>
      </c>
      <c r="C9" s="27" t="inlineStr">
        <is>
          <t>Người dùng yêu cầu thêm tính năng ngoài MVP (đặt trước, email, thanh toán)</t>
        </is>
      </c>
      <c r="D9" s="27" t="inlineStr">
        <is>
          <t>Trễ tiến độ, vượt ngân sách</t>
        </is>
      </c>
      <c r="E9" s="27" t="inlineStr">
        <is>
          <t>Phạm vi</t>
        </is>
      </c>
      <c r="F9" s="28" t="n">
        <v>4</v>
      </c>
      <c r="G9" s="28" t="n">
        <v>4</v>
      </c>
      <c r="H9" s="29">
        <f>F9*G9</f>
        <v/>
      </c>
      <c r="I9" s="29">
        <f>IF(H9&gt;=15,"Cao",IF(H9&gt;=8,"Trung bình","Thấp"))</f>
        <v/>
      </c>
      <c r="J9" s="30">
        <f>CHOOSE(F9,0.1,0.3,0.5,0.7,0.9)</f>
        <v/>
      </c>
      <c r="K9" s="31" t="n">
        <v>800000</v>
      </c>
      <c r="L9" s="32">
        <f>K9*J9</f>
        <v/>
      </c>
      <c r="M9" s="27" t="inlineStr">
        <is>
          <t>Giảm thiểu</t>
        </is>
      </c>
      <c r="N9" s="27" t="inlineStr">
        <is>
          <t>Chốt danh sách ngoài MVP trong SOW; mọi thay đổi qua Change Request, Product Owner duyệt</t>
        </is>
      </c>
      <c r="O9" s="27" t="inlineStr">
        <is>
          <t>Số CR mở &gt; 2 cùng lúc</t>
        </is>
      </c>
      <c r="P9" s="27" t="inlineStr">
        <is>
          <t>Quản lý dự án</t>
        </is>
      </c>
      <c r="Q9" s="27" t="inlineStr">
        <is>
          <t>Đang theo dõi</t>
        </is>
      </c>
    </row>
    <row r="10">
      <c r="A10" s="27" t="inlineStr">
        <is>
          <t>R6</t>
        </is>
      </c>
      <c r="B10" s="27" t="inlineStr">
        <is>
          <t>Ước lượng thấp hơn thực tế</t>
        </is>
      </c>
      <c r="C10" s="27" t="inlineStr">
        <is>
          <t>Năng suất giả định cao (2,1 giờ/FP), ít dữ liệu lịch sử</t>
        </is>
      </c>
      <c r="D10" s="27" t="inlineStr">
        <is>
          <t>Vượt giờ công, SPI/CPI dưới 0,9</t>
        </is>
      </c>
      <c r="E10" s="27" t="inlineStr">
        <is>
          <t>Lịch và chi phí</t>
        </is>
      </c>
      <c r="F10" s="28" t="n">
        <v>3</v>
      </c>
      <c r="G10" s="28" t="n">
        <v>4</v>
      </c>
      <c r="H10" s="29">
        <f>F10*G10</f>
        <v/>
      </c>
      <c r="I10" s="29">
        <f>IF(H10&gt;=15,"Cao",IF(H10&gt;=8,"Trung bình","Thấp"))</f>
        <v/>
      </c>
      <c r="J10" s="30">
        <f>CHOOSE(F10,0.1,0.3,0.5,0.7,0.9)</f>
        <v/>
      </c>
      <c r="K10" s="31" t="n">
        <v>800000</v>
      </c>
      <c r="L10" s="32">
        <f>K10*J10</f>
        <v/>
      </c>
      <c r="M10" s="27" t="inlineStr">
        <is>
          <t>Chấp nhận có dự phòng</t>
        </is>
      </c>
      <c r="N10" s="27" t="inlineStr">
        <is>
          <t>Ước lượng 3 điểm; dự phòng 10% BAC; theo dõi EVA mỗi 4 tuần; cắt phạm vi khi CPI &lt; 0,85</t>
        </is>
      </c>
      <c r="O10" s="27" t="inlineStr">
        <is>
          <t>SPI hoặc CPI &lt; 0,85</t>
        </is>
      </c>
      <c r="P10" s="27" t="inlineStr">
        <is>
          <t>Quản lý dự án</t>
        </is>
      </c>
      <c r="Q10" s="27" t="inlineStr">
        <is>
          <t>Đã xảy ra, trong dự phòng</t>
        </is>
      </c>
    </row>
    <row r="11">
      <c r="A11" s="27" t="inlineStr">
        <is>
          <t>R7</t>
        </is>
      </c>
      <c r="B11" s="27" t="inlineStr">
        <is>
          <t>Dữ liệu sách nhập sai hoặc thiếu ISBN</t>
        </is>
      </c>
      <c r="C11" s="27" t="inlineStr">
        <is>
          <t>Nguồn dữ liệu mở không đồng nhất</t>
        </is>
      </c>
      <c r="D11" s="27" t="inlineStr">
        <is>
          <t>Tra cứu sai, trùng đầu sách</t>
        </is>
      </c>
      <c r="E11" s="27" t="inlineStr">
        <is>
          <t>Nghiệp vụ</t>
        </is>
      </c>
      <c r="F11" s="28" t="n">
        <v>3</v>
      </c>
      <c r="G11" s="28" t="n">
        <v>3</v>
      </c>
      <c r="H11" s="29">
        <f>F11*G11</f>
        <v/>
      </c>
      <c r="I11" s="29">
        <f>IF(H11&gt;=15,"Cao",IF(H11&gt;=8,"Trung bình","Thấp"))</f>
        <v/>
      </c>
      <c r="J11" s="30">
        <f>CHOOSE(F11,0.1,0.3,0.5,0.7,0.9)</f>
        <v/>
      </c>
      <c r="K11" s="31" t="n">
        <v>300000</v>
      </c>
      <c r="L11" s="32">
        <f>K11*J11</f>
        <v/>
      </c>
      <c r="M11" s="27" t="inlineStr">
        <is>
          <t>Giảm thiểu</t>
        </is>
      </c>
      <c r="N11" s="27" t="inlineStr">
        <is>
          <t>ISBN duy nhất (409 nếu trùng); kiểm tra định dạng; báo cáo bản ghi bị bỏ qua; rà soát mẫu 50 cuốn</t>
        </is>
      </c>
      <c r="O11" s="27" t="inlineStr">
        <is>
          <t>Tỉ lệ bản ghi thiếu ISBN &gt; 10%</t>
        </is>
      </c>
      <c r="P11" s="27" t="inlineStr">
        <is>
          <t>Backend</t>
        </is>
      </c>
      <c r="Q11" s="27" t="inlineStr">
        <is>
          <t>Đang theo dõi</t>
        </is>
      </c>
    </row>
    <row r="12">
      <c r="A12" s="27" t="inlineStr">
        <is>
          <t>R8</t>
        </is>
      </c>
      <c r="B12" s="27" t="inlineStr">
        <is>
          <t>Thủ thư không muốn chuyển sang hệ thống mới</t>
        </is>
      </c>
      <c r="C12" s="27" t="inlineStr">
        <is>
          <t>Quen sổ sách, ngại thay đổi quy trình</t>
        </is>
      </c>
      <c r="D12" s="27" t="inlineStr">
        <is>
          <t>Hệ thống không được dùng, mất lợi ích</t>
        </is>
      </c>
      <c r="E12" s="27" t="inlineStr">
        <is>
          <t>Nghiệp vụ</t>
        </is>
      </c>
      <c r="F12" s="28" t="n">
        <v>3</v>
      </c>
      <c r="G12" s="28" t="n">
        <v>4</v>
      </c>
      <c r="H12" s="29">
        <f>F12*G12</f>
        <v/>
      </c>
      <c r="I12" s="29">
        <f>IF(H12&gt;=15,"Cao",IF(H12&gt;=8,"Trung bình","Thấp"))</f>
        <v/>
      </c>
      <c r="J12" s="30">
        <f>CHOOSE(F12,0.1,0.3,0.5,0.7,0.9)</f>
        <v/>
      </c>
      <c r="K12" s="31" t="n">
        <v>600000</v>
      </c>
      <c r="L12" s="32">
        <f>K12*J12</f>
        <v/>
      </c>
      <c r="M12" s="27" t="inlineStr">
        <is>
          <t>Giảm thiểu</t>
        </is>
      </c>
      <c r="N12" s="27" t="inlineStr">
        <is>
          <t>Quầy mượn trả đơn giản (nhập mã vạch); đào tạo 2 buổi; chạy song song 2 tuần; thủ thư đại diện dự UAT</t>
        </is>
      </c>
      <c r="O12" s="27" t="inlineStr">
        <is>
          <t>Dưới 60% phiếu mượn nhập qua hệ thống sau 2 tuần</t>
        </is>
      </c>
      <c r="P12" s="27" t="inlineStr">
        <is>
          <t>QA</t>
        </is>
      </c>
      <c r="Q12" s="27" t="inlineStr">
        <is>
          <t>Chưa xảy ra</t>
        </is>
      </c>
    </row>
    <row r="13">
      <c r="A13" s="27" t="inlineStr">
        <is>
          <t>R9</t>
        </is>
      </c>
      <c r="B13" s="27" t="inlineStr">
        <is>
          <t>Mất dữ liệu seed hoặc lỗi migration</t>
        </is>
      </c>
      <c r="C13" s="27" t="inlineStr">
        <is>
          <t>Thao tác nhầm trên cơ sở dữ liệu dùng chung</t>
        </is>
      </c>
      <c r="D13" s="27" t="inlineStr">
        <is>
          <t>Phải dựng lại dữ liệu mẫu, mất vài giờ</t>
        </is>
      </c>
      <c r="E13" s="27" t="inlineStr">
        <is>
          <t>Kỹ thuật</t>
        </is>
      </c>
      <c r="F13" s="28" t="n">
        <v>2</v>
      </c>
      <c r="G13" s="28" t="n">
        <v>3</v>
      </c>
      <c r="H13" s="29">
        <f>F13*G13</f>
        <v/>
      </c>
      <c r="I13" s="29">
        <f>IF(H13&gt;=15,"Cao",IF(H13&gt;=8,"Trung bình","Thấp"))</f>
        <v/>
      </c>
      <c r="J13" s="30">
        <f>CHOOSE(F13,0.1,0.3,0.5,0.7,0.9)</f>
        <v/>
      </c>
      <c r="K13" s="31" t="n">
        <v>200000</v>
      </c>
      <c r="L13" s="32">
        <f>K13*J13</f>
        <v/>
      </c>
      <c r="M13" s="27" t="inlineStr">
        <is>
          <t>Chuyển giao</t>
        </is>
      </c>
      <c r="N13" s="27" t="inlineStr">
        <is>
          <t>Neon sao lưu hằng ngày; seed lặp lại được; migration có phiên bản</t>
        </is>
      </c>
      <c r="O13" s="27" t="inlineStr">
        <is>
          <t>Lỗi migration trên CI</t>
        </is>
      </c>
      <c r="P13" s="27" t="inlineStr">
        <is>
          <t>Backend</t>
        </is>
      </c>
      <c r="Q13" s="27" t="inlineStr">
        <is>
          <t>Chưa xảy ra</t>
        </is>
      </c>
    </row>
    <row r="14">
      <c r="A14" s="27" t="inlineStr">
        <is>
          <t>R10</t>
        </is>
      </c>
      <c r="B14" s="27" t="inlineStr">
        <is>
          <t>Lỗi quy tắc phạt (làm tròn theo giờ, không theo ngày lịch)</t>
        </is>
      </c>
      <c r="C14" s="27" t="inlineStr">
        <is>
          <t>Quy tắc nghiệp vụ hiểu chưa đủ chặt</t>
        </is>
      </c>
      <c r="D14" s="27" t="inlineStr">
        <is>
          <t>Tính sai tiền phạt, khiếu nại của bạn đọc</t>
        </is>
      </c>
      <c r="E14" s="27" t="inlineStr">
        <is>
          <t>Chất lượng</t>
        </is>
      </c>
      <c r="F14" s="28" t="n">
        <v>3</v>
      </c>
      <c r="G14" s="28" t="n">
        <v>3</v>
      </c>
      <c r="H14" s="29">
        <f>F14*G14</f>
        <v/>
      </c>
      <c r="I14" s="29">
        <f>IF(H14&gt;=15,"Cao",IF(H14&gt;=8,"Trung bình","Thấp"))</f>
        <v/>
      </c>
      <c r="J14" s="30">
        <f>CHOOSE(F14,0.1,0.3,0.5,0.7,0.9)</f>
        <v/>
      </c>
      <c r="K14" s="31" t="n">
        <v>300000</v>
      </c>
      <c r="L14" s="32">
        <f>K14*J14</f>
        <v/>
      </c>
      <c r="M14" s="27" t="inlineStr">
        <is>
          <t>Giảm thiểu</t>
        </is>
      </c>
      <c r="N14" s="27" t="inlineStr">
        <is>
          <t>Test biên (23:59 và 00:01); chạy thử luồng thật trên DB; đã sửa theo ngày lịch</t>
        </is>
      </c>
      <c r="O14" s="27" t="inlineStr">
        <is>
          <t>Ca test biên đỏ</t>
        </is>
      </c>
      <c r="P14" s="27" t="inlineStr">
        <is>
          <t>QA</t>
        </is>
      </c>
      <c r="Q14" s="27" t="inlineStr">
        <is>
          <t>Đã xảy ra, đã sửa</t>
        </is>
      </c>
    </row>
    <row r="15">
      <c r="B15" s="4" t="inlineStr">
        <is>
          <t>Tổng EMV</t>
        </is>
      </c>
      <c r="L15" s="18">
        <f>SUM(L5:L14)</f>
        <v/>
      </c>
    </row>
    <row r="16">
      <c r="B16" t="inlineStr">
        <is>
          <t>Dự phòng quản lý (đ)</t>
        </is>
      </c>
      <c r="L16" s="18">
        <f>WBS!$L$49-WBS!$L$47</f>
        <v/>
      </c>
    </row>
    <row r="17">
      <c r="B17" t="inlineStr">
        <is>
          <t>Dự phòng so với EMV</t>
        </is>
      </c>
      <c r="L17" s="26">
        <f>L16/L15</f>
        <v/>
      </c>
    </row>
    <row r="19">
      <c r="B19" s="4" t="inlineStr">
        <is>
          <t>Ma trận rủi ro (số rủi ro trong ô). Hàng: Xác suất 5 xuống 1; cột: Tác động 1 đến 5</t>
        </is>
      </c>
    </row>
    <row r="20">
      <c r="C20" s="15" t="inlineStr">
        <is>
          <t>I=1</t>
        </is>
      </c>
      <c r="D20" s="15" t="inlineStr">
        <is>
          <t>I=2</t>
        </is>
      </c>
      <c r="E20" s="15" t="inlineStr">
        <is>
          <t>I=3</t>
        </is>
      </c>
      <c r="F20" s="15" t="inlineStr">
        <is>
          <t>I=4</t>
        </is>
      </c>
      <c r="G20" s="15" t="inlineStr">
        <is>
          <t>I=5</t>
        </is>
      </c>
    </row>
    <row r="21">
      <c r="B21" s="33" t="inlineStr">
        <is>
          <t>P=5</t>
        </is>
      </c>
      <c r="C21" s="34">
        <f>COUNTIFS($F$5:$F$14,5,$G$5:$G$14,1)</f>
        <v/>
      </c>
      <c r="D21" s="35">
        <f>COUNTIFS($F$5:$F$14,5,$G$5:$G$14,2)</f>
        <v/>
      </c>
      <c r="E21" s="36">
        <f>COUNTIFS($F$5:$F$14,5,$G$5:$G$14,3)</f>
        <v/>
      </c>
      <c r="F21" s="36">
        <f>COUNTIFS($F$5:$F$14,5,$G$5:$G$14,4)</f>
        <v/>
      </c>
      <c r="G21" s="36">
        <f>COUNTIFS($F$5:$F$14,5,$G$5:$G$14,5)</f>
        <v/>
      </c>
    </row>
    <row r="22">
      <c r="B22" s="33" t="inlineStr">
        <is>
          <t>P=4</t>
        </is>
      </c>
      <c r="C22" s="34">
        <f>COUNTIFS($F$5:$F$14,4,$G$5:$G$14,1)</f>
        <v/>
      </c>
      <c r="D22" s="35">
        <f>COUNTIFS($F$5:$F$14,4,$G$5:$G$14,2)</f>
        <v/>
      </c>
      <c r="E22" s="35">
        <f>COUNTIFS($F$5:$F$14,4,$G$5:$G$14,3)</f>
        <v/>
      </c>
      <c r="F22" s="36">
        <f>COUNTIFS($F$5:$F$14,4,$G$5:$G$14,4)</f>
        <v/>
      </c>
      <c r="G22" s="36">
        <f>COUNTIFS($F$5:$F$14,4,$G$5:$G$14,5)</f>
        <v/>
      </c>
    </row>
    <row r="23">
      <c r="B23" s="33" t="inlineStr">
        <is>
          <t>P=3</t>
        </is>
      </c>
      <c r="C23" s="34">
        <f>COUNTIFS($F$5:$F$14,3,$G$5:$G$14,1)</f>
        <v/>
      </c>
      <c r="D23" s="34">
        <f>COUNTIFS($F$5:$F$14,3,$G$5:$G$14,2)</f>
        <v/>
      </c>
      <c r="E23" s="35">
        <f>COUNTIFS($F$5:$F$14,3,$G$5:$G$14,3)</f>
        <v/>
      </c>
      <c r="F23" s="35">
        <f>COUNTIFS($F$5:$F$14,3,$G$5:$G$14,4)</f>
        <v/>
      </c>
      <c r="G23" s="36">
        <f>COUNTIFS($F$5:$F$14,3,$G$5:$G$14,5)</f>
        <v/>
      </c>
    </row>
    <row r="24">
      <c r="B24" s="33" t="inlineStr">
        <is>
          <t>P=2</t>
        </is>
      </c>
      <c r="C24" s="34">
        <f>COUNTIFS($F$5:$F$14,2,$G$5:$G$14,1)</f>
        <v/>
      </c>
      <c r="D24" s="34">
        <f>COUNTIFS($F$5:$F$14,2,$G$5:$G$14,2)</f>
        <v/>
      </c>
      <c r="E24" s="34">
        <f>COUNTIFS($F$5:$F$14,2,$G$5:$G$14,3)</f>
        <v/>
      </c>
      <c r="F24" s="35">
        <f>COUNTIFS($F$5:$F$14,2,$G$5:$G$14,4)</f>
        <v/>
      </c>
      <c r="G24" s="35">
        <f>COUNTIFS($F$5:$F$14,2,$G$5:$G$14,5)</f>
        <v/>
      </c>
    </row>
    <row r="25">
      <c r="B25" s="33" t="inlineStr">
        <is>
          <t>P=1</t>
        </is>
      </c>
      <c r="C25" s="34">
        <f>COUNTIFS($F$5:$F$14,1,$G$5:$G$14,1)</f>
        <v/>
      </c>
      <c r="D25" s="34">
        <f>COUNTIFS($F$5:$F$14,1,$G$5:$G$14,2)</f>
        <v/>
      </c>
      <c r="E25" s="34">
        <f>COUNTIFS($F$5:$F$14,1,$G$5:$G$14,3)</f>
        <v/>
      </c>
      <c r="F25" s="34">
        <f>COUNTIFS($F$5:$F$14,1,$G$5:$G$14,4)</f>
        <v/>
      </c>
      <c r="G25" s="34">
        <f>COUNTIFS($F$5:$F$14,1,$G$5:$G$14,5)</f>
        <v/>
      </c>
    </row>
  </sheetData>
  <conditionalFormatting sqref="I5:I14">
    <cfRule type="expression" priority="1" dxfId="3">
      <formula>I5="Cao"</formula>
    </cfRule>
    <cfRule type="expression" priority="2" dxfId="4">
      <formula>I5="Trung bình"</formula>
    </cfRule>
    <cfRule type="expression" priority="3" dxfId="5">
      <formula>I5="Thấp"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7" customWidth="1" min="9" max="9"/>
    <col width="9" customWidth="1" min="10" max="10"/>
  </cols>
  <sheetData>
    <row r="1">
      <c r="A1" s="1" t="inlineStr">
        <is>
          <t>Ma trận trách nhiệm RACI</t>
        </is>
      </c>
    </row>
    <row r="2">
      <c r="A2" s="2" t="inlineStr">
        <is>
          <t>R: thực hiện, A: chịu trách nhiệm cuối (đúng một người), C: được tham vấn, I: được thông báo. A/R: vừa chịu trách nhiệm vừa thực hiện.</t>
        </is>
      </c>
    </row>
    <row r="4" ht="32" customHeight="1">
      <c r="A4" s="3" t="inlineStr">
        <is>
          <t>Mã</t>
        </is>
      </c>
      <c r="B4" s="3" t="inlineStr">
        <is>
          <t>Hạng mục</t>
        </is>
      </c>
      <c r="C4" s="3" t="inlineStr">
        <is>
          <t>Quản lý dự án</t>
        </is>
      </c>
      <c r="D4" s="3" t="inlineStr">
        <is>
          <t>Frontend, AI</t>
        </is>
      </c>
      <c r="E4" s="3" t="inlineStr">
        <is>
          <t>Backend, DevOps</t>
        </is>
      </c>
      <c r="F4" s="3" t="inlineStr">
        <is>
          <t>BA, Kiểm thử</t>
        </is>
      </c>
      <c r="G4" s="3" t="inlineStr">
        <is>
          <t>Khách hàng (thư viện)</t>
        </is>
      </c>
      <c r="H4" s="3" t="inlineStr">
        <is>
          <t>Giảng viên hướng dẫn</t>
        </is>
      </c>
      <c r="I4" s="3" t="inlineStr">
        <is>
          <t>Số A</t>
        </is>
      </c>
      <c r="J4" s="3" t="inlineStr">
        <is>
          <t>Kiểm tra</t>
        </is>
      </c>
    </row>
    <row r="5">
      <c r="A5" s="21" t="inlineStr">
        <is>
          <t>1</t>
        </is>
      </c>
      <c r="B5" s="21" t="inlineStr">
        <is>
          <t>Khởi tạo, SOW, hiến chương</t>
        </is>
      </c>
      <c r="C5" s="37" t="inlineStr">
        <is>
          <t>A/R</t>
        </is>
      </c>
      <c r="D5" s="37" t="inlineStr">
        <is>
          <t>C</t>
        </is>
      </c>
      <c r="E5" s="37" t="inlineStr">
        <is>
          <t>C</t>
        </is>
      </c>
      <c r="F5" s="37" t="inlineStr">
        <is>
          <t>C</t>
        </is>
      </c>
      <c r="G5" s="37" t="inlineStr">
        <is>
          <t>C</t>
        </is>
      </c>
      <c r="H5" s="37" t="inlineStr">
        <is>
          <t>I</t>
        </is>
      </c>
      <c r="I5" s="21">
        <f>COUNTIF(C5:H5,"A*")</f>
        <v/>
      </c>
      <c r="J5" s="21">
        <f>IF(I5=1,"OK","LỖI")</f>
        <v/>
      </c>
    </row>
    <row r="6">
      <c r="A6" s="21" t="inlineStr">
        <is>
          <t>2.1</t>
        </is>
      </c>
      <c r="B6" s="21" t="inlineStr">
        <is>
          <t>Khảo sát nghiệp vụ</t>
        </is>
      </c>
      <c r="C6" s="37" t="inlineStr">
        <is>
          <t>A</t>
        </is>
      </c>
      <c r="D6" s="37" t="inlineStr">
        <is>
          <t>I</t>
        </is>
      </c>
      <c r="E6" s="37" t="inlineStr">
        <is>
          <t>I</t>
        </is>
      </c>
      <c r="F6" s="37" t="inlineStr">
        <is>
          <t>R</t>
        </is>
      </c>
      <c r="G6" s="37" t="inlineStr">
        <is>
          <t>C</t>
        </is>
      </c>
      <c r="H6" s="37" t="inlineStr">
        <is>
          <t>I</t>
        </is>
      </c>
      <c r="I6" s="21">
        <f>COUNTIF(C6:H6,"A*")</f>
        <v/>
      </c>
      <c r="J6" s="21">
        <f>IF(I6=1,"OK","LỖI")</f>
        <v/>
      </c>
    </row>
    <row r="7">
      <c r="A7" s="21" t="inlineStr">
        <is>
          <t>2.2</t>
        </is>
      </c>
      <c r="B7" s="21" t="inlineStr">
        <is>
          <t>Đặc tả SRS, User Story</t>
        </is>
      </c>
      <c r="C7" s="37" t="inlineStr">
        <is>
          <t>A</t>
        </is>
      </c>
      <c r="D7" s="37" t="inlineStr">
        <is>
          <t>C</t>
        </is>
      </c>
      <c r="E7" s="37" t="inlineStr">
        <is>
          <t>C</t>
        </is>
      </c>
      <c r="F7" s="37" t="inlineStr">
        <is>
          <t>R</t>
        </is>
      </c>
      <c r="G7" s="37" t="inlineStr">
        <is>
          <t>C</t>
        </is>
      </c>
      <c r="H7" s="37" t="inlineStr">
        <is>
          <t>I</t>
        </is>
      </c>
      <c r="I7" s="21">
        <f>COUNTIF(C7:H7,"A*")</f>
        <v/>
      </c>
      <c r="J7" s="21">
        <f>IF(I7=1,"OK","LỖI")</f>
        <v/>
      </c>
    </row>
    <row r="8">
      <c r="A8" s="21" t="inlineStr">
        <is>
          <t>2.3</t>
        </is>
      </c>
      <c r="B8" s="21" t="inlineStr">
        <is>
          <t>Mô hình use case, quy tắc BR</t>
        </is>
      </c>
      <c r="C8" s="37" t="inlineStr">
        <is>
          <t>A</t>
        </is>
      </c>
      <c r="D8" s="37" t="inlineStr">
        <is>
          <t>C</t>
        </is>
      </c>
      <c r="E8" s="37" t="inlineStr">
        <is>
          <t>C</t>
        </is>
      </c>
      <c r="F8" s="37" t="inlineStr">
        <is>
          <t>R</t>
        </is>
      </c>
      <c r="G8" s="37" t="inlineStr">
        <is>
          <t>C</t>
        </is>
      </c>
      <c r="H8" s="37" t="inlineStr">
        <is>
          <t>I</t>
        </is>
      </c>
      <c r="I8" s="21">
        <f>COUNTIF(C8:H8,"A*")</f>
        <v/>
      </c>
      <c r="J8" s="21">
        <f>IF(I8=1,"OK","LỖI")</f>
        <v/>
      </c>
    </row>
    <row r="9">
      <c r="A9" s="21" t="inlineStr">
        <is>
          <t>3.1</t>
        </is>
      </c>
      <c r="B9" s="21" t="inlineStr">
        <is>
          <t>Kiến trúc hệ thống</t>
        </is>
      </c>
      <c r="C9" s="37" t="inlineStr">
        <is>
          <t>A/R</t>
        </is>
      </c>
      <c r="D9" s="37" t="inlineStr">
        <is>
          <t>C</t>
        </is>
      </c>
      <c r="E9" s="37" t="inlineStr">
        <is>
          <t>C</t>
        </is>
      </c>
      <c r="F9" s="37" t="inlineStr">
        <is>
          <t>I</t>
        </is>
      </c>
      <c r="G9" s="37" t="inlineStr">
        <is>
          <t>I</t>
        </is>
      </c>
      <c r="H9" s="37" t="inlineStr">
        <is>
          <t>C</t>
        </is>
      </c>
      <c r="I9" s="21">
        <f>COUNTIF(C9:H9,"A*")</f>
        <v/>
      </c>
      <c r="J9" s="21">
        <f>IF(I9=1,"OK","LỖI")</f>
        <v/>
      </c>
    </row>
    <row r="10">
      <c r="A10" s="21" t="inlineStr">
        <is>
          <t>3.2</t>
        </is>
      </c>
      <c r="B10" s="21" t="inlineStr">
        <is>
          <t>Cơ sở dữ liệu</t>
        </is>
      </c>
      <c r="C10" s="37" t="inlineStr">
        <is>
          <t>A</t>
        </is>
      </c>
      <c r="D10" s="37" t="inlineStr">
        <is>
          <t>I</t>
        </is>
      </c>
      <c r="E10" s="37" t="inlineStr">
        <is>
          <t>R</t>
        </is>
      </c>
      <c r="F10" s="37" t="inlineStr">
        <is>
          <t>C</t>
        </is>
      </c>
      <c r="G10" s="37" t="inlineStr">
        <is>
          <t>I</t>
        </is>
      </c>
      <c r="H10" s="37" t="inlineStr">
        <is>
          <t>C</t>
        </is>
      </c>
      <c r="I10" s="21">
        <f>COUNTIF(C10:H10,"A*")</f>
        <v/>
      </c>
      <c r="J10" s="21">
        <f>IF(I10=1,"OK","LỖI")</f>
        <v/>
      </c>
    </row>
    <row r="11">
      <c r="A11" s="21" t="inlineStr">
        <is>
          <t>3.3</t>
        </is>
      </c>
      <c r="B11" s="21" t="inlineStr">
        <is>
          <t>Thiết kế API</t>
        </is>
      </c>
      <c r="C11" s="37" t="inlineStr">
        <is>
          <t>A</t>
        </is>
      </c>
      <c r="D11" s="37" t="inlineStr">
        <is>
          <t>C</t>
        </is>
      </c>
      <c r="E11" s="37" t="inlineStr">
        <is>
          <t>R</t>
        </is>
      </c>
      <c r="F11" s="37" t="inlineStr">
        <is>
          <t>C</t>
        </is>
      </c>
      <c r="G11" s="37" t="inlineStr">
        <is>
          <t>I</t>
        </is>
      </c>
      <c r="H11" s="37" t="inlineStr">
        <is>
          <t>I</t>
        </is>
      </c>
      <c r="I11" s="21">
        <f>COUNTIF(C11:H11,"A*")</f>
        <v/>
      </c>
      <c r="J11" s="21">
        <f>IF(I11=1,"OK","LỖI")</f>
        <v/>
      </c>
    </row>
    <row r="12">
      <c r="A12" s="21" t="inlineStr">
        <is>
          <t>3.4</t>
        </is>
      </c>
      <c r="B12" s="21" t="inlineStr">
        <is>
          <t>Thiết kế giao diện</t>
        </is>
      </c>
      <c r="C12" s="37" t="inlineStr">
        <is>
          <t>A</t>
        </is>
      </c>
      <c r="D12" s="37" t="inlineStr">
        <is>
          <t>R</t>
        </is>
      </c>
      <c r="E12" s="37" t="inlineStr">
        <is>
          <t>I</t>
        </is>
      </c>
      <c r="F12" s="37" t="inlineStr">
        <is>
          <t>C</t>
        </is>
      </c>
      <c r="G12" s="37" t="inlineStr">
        <is>
          <t>C</t>
        </is>
      </c>
      <c r="H12" s="37" t="inlineStr">
        <is>
          <t>I</t>
        </is>
      </c>
      <c r="I12" s="21">
        <f>COUNTIF(C12:H12,"A*")</f>
        <v/>
      </c>
      <c r="J12" s="21">
        <f>IF(I12=1,"OK","LỖI")</f>
        <v/>
      </c>
    </row>
    <row r="13">
      <c r="A13" s="21" t="inlineStr">
        <is>
          <t>3.5</t>
        </is>
      </c>
      <c r="B13" s="21" t="inlineStr">
        <is>
          <t>Thiết kế mô hình AI</t>
        </is>
      </c>
      <c r="C13" s="37" t="inlineStr">
        <is>
          <t>A</t>
        </is>
      </c>
      <c r="D13" s="37" t="inlineStr">
        <is>
          <t>R</t>
        </is>
      </c>
      <c r="E13" s="37" t="inlineStr">
        <is>
          <t>C</t>
        </is>
      </c>
      <c r="F13" s="37" t="inlineStr">
        <is>
          <t>I</t>
        </is>
      </c>
      <c r="G13" s="37" t="inlineStr">
        <is>
          <t>I</t>
        </is>
      </c>
      <c r="H13" s="37" t="inlineStr">
        <is>
          <t>C</t>
        </is>
      </c>
      <c r="I13" s="21">
        <f>COUNTIF(C13:H13,"A*")</f>
        <v/>
      </c>
      <c r="J13" s="21">
        <f>IF(I13=1,"OK","LỖI")</f>
        <v/>
      </c>
    </row>
    <row r="14">
      <c r="A14" s="21" t="inlineStr">
        <is>
          <t>4.1</t>
        </is>
      </c>
      <c r="B14" s="21" t="inlineStr">
        <is>
          <t>Quản lý sách (BE và FE)</t>
        </is>
      </c>
      <c r="C14" s="37" t="inlineStr">
        <is>
          <t>A</t>
        </is>
      </c>
      <c r="D14" s="37" t="inlineStr">
        <is>
          <t>R</t>
        </is>
      </c>
      <c r="E14" s="37" t="inlineStr">
        <is>
          <t>R</t>
        </is>
      </c>
      <c r="F14" s="37" t="inlineStr">
        <is>
          <t>C</t>
        </is>
      </c>
      <c r="G14" s="37" t="inlineStr">
        <is>
          <t>C</t>
        </is>
      </c>
      <c r="H14" s="37" t="inlineStr">
        <is>
          <t>I</t>
        </is>
      </c>
      <c r="I14" s="21">
        <f>COUNTIF(C14:H14,"A*")</f>
        <v/>
      </c>
      <c r="J14" s="21">
        <f>IF(I14=1,"OK","LỖI")</f>
        <v/>
      </c>
    </row>
    <row r="15">
      <c r="A15" s="21" t="inlineStr">
        <is>
          <t>4.2</t>
        </is>
      </c>
      <c r="B15" s="21" t="inlineStr">
        <is>
          <t>Quản lý bạn đọc, xác thực</t>
        </is>
      </c>
      <c r="C15" s="37" t="inlineStr">
        <is>
          <t>A/R</t>
        </is>
      </c>
      <c r="D15" s="37" t="inlineStr">
        <is>
          <t>R</t>
        </is>
      </c>
      <c r="E15" s="37" t="inlineStr">
        <is>
          <t>C</t>
        </is>
      </c>
      <c r="F15" s="37" t="inlineStr">
        <is>
          <t>C</t>
        </is>
      </c>
      <c r="G15" s="37" t="inlineStr">
        <is>
          <t>C</t>
        </is>
      </c>
      <c r="H15" s="37" t="inlineStr">
        <is>
          <t>I</t>
        </is>
      </c>
      <c r="I15" s="21">
        <f>COUNTIF(C15:H15,"A*")</f>
        <v/>
      </c>
      <c r="J15" s="21">
        <f>IF(I15=1,"OK","LỖI")</f>
        <v/>
      </c>
    </row>
    <row r="16">
      <c r="A16" s="21" t="inlineStr">
        <is>
          <t>4.3</t>
        </is>
      </c>
      <c r="B16" s="21" t="inlineStr">
        <is>
          <t>Mượn, trả, phạt</t>
        </is>
      </c>
      <c r="C16" s="37" t="inlineStr">
        <is>
          <t>A/R</t>
        </is>
      </c>
      <c r="D16" s="37" t="inlineStr">
        <is>
          <t>R</t>
        </is>
      </c>
      <c r="E16" s="37" t="inlineStr">
        <is>
          <t>R</t>
        </is>
      </c>
      <c r="F16" s="37" t="inlineStr">
        <is>
          <t>C</t>
        </is>
      </c>
      <c r="G16" s="37" t="inlineStr">
        <is>
          <t>C</t>
        </is>
      </c>
      <c r="H16" s="37" t="inlineStr">
        <is>
          <t>I</t>
        </is>
      </c>
      <c r="I16" s="21">
        <f>COUNTIF(C16:H16,"A*")</f>
        <v/>
      </c>
      <c r="J16" s="21">
        <f>IF(I16=1,"OK","LỖI")</f>
        <v/>
      </c>
    </row>
    <row r="17">
      <c r="A17" s="21" t="inlineStr">
        <is>
          <t>4.4</t>
        </is>
      </c>
      <c r="B17" s="21" t="inlineStr">
        <is>
          <t>Tìm kiếm</t>
        </is>
      </c>
      <c r="C17" s="37" t="inlineStr">
        <is>
          <t>A</t>
        </is>
      </c>
      <c r="D17" s="37" t="inlineStr">
        <is>
          <t>R</t>
        </is>
      </c>
      <c r="E17" s="37" t="inlineStr">
        <is>
          <t>R</t>
        </is>
      </c>
      <c r="F17" s="37" t="inlineStr">
        <is>
          <t>C</t>
        </is>
      </c>
      <c r="G17" s="37" t="inlineStr">
        <is>
          <t>I</t>
        </is>
      </c>
      <c r="H17" s="37" t="inlineStr">
        <is>
          <t>I</t>
        </is>
      </c>
      <c r="I17" s="21">
        <f>COUNTIF(C17:H17,"A*")</f>
        <v/>
      </c>
      <c r="J17" s="21">
        <f>IF(I17=1,"OK","LỖI")</f>
        <v/>
      </c>
    </row>
    <row r="18">
      <c r="A18" s="21" t="inlineStr">
        <is>
          <t>4.5</t>
        </is>
      </c>
      <c r="B18" s="21" t="inlineStr">
        <is>
          <t>Báo cáo thống kê</t>
        </is>
      </c>
      <c r="C18" s="37" t="inlineStr">
        <is>
          <t>A</t>
        </is>
      </c>
      <c r="D18" s="37" t="inlineStr">
        <is>
          <t>R</t>
        </is>
      </c>
      <c r="E18" s="37" t="inlineStr">
        <is>
          <t>R</t>
        </is>
      </c>
      <c r="F18" s="37" t="inlineStr">
        <is>
          <t>C</t>
        </is>
      </c>
      <c r="G18" s="37" t="inlineStr">
        <is>
          <t>C</t>
        </is>
      </c>
      <c r="H18" s="37" t="inlineStr">
        <is>
          <t>I</t>
        </is>
      </c>
      <c r="I18" s="21">
        <f>COUNTIF(C18:H18,"A*")</f>
        <v/>
      </c>
      <c r="J18" s="21">
        <f>IF(I18=1,"OK","LỖI")</f>
        <v/>
      </c>
    </row>
    <row r="19">
      <c r="A19" s="21" t="inlineStr">
        <is>
          <t>4.6</t>
        </is>
      </c>
      <c r="B19" s="21" t="inlineStr">
        <is>
          <t>AI gợi ý, dự báo trễ</t>
        </is>
      </c>
      <c r="C19" s="37" t="inlineStr">
        <is>
          <t>A</t>
        </is>
      </c>
      <c r="D19" s="37" t="inlineStr">
        <is>
          <t>R</t>
        </is>
      </c>
      <c r="E19" s="37" t="inlineStr">
        <is>
          <t>C</t>
        </is>
      </c>
      <c r="F19" s="37" t="inlineStr">
        <is>
          <t>C</t>
        </is>
      </c>
      <c r="G19" s="37" t="inlineStr">
        <is>
          <t>I</t>
        </is>
      </c>
      <c r="H19" s="37" t="inlineStr">
        <is>
          <t>C</t>
        </is>
      </c>
      <c r="I19" s="21">
        <f>COUNTIF(C19:H19,"A*")</f>
        <v/>
      </c>
      <c r="J19" s="21">
        <f>IF(I19=1,"OK","LỖI")</f>
        <v/>
      </c>
    </row>
    <row r="20">
      <c r="A20" s="21" t="inlineStr">
        <is>
          <t>4.7</t>
        </is>
      </c>
      <c r="B20" s="21" t="inlineStr">
        <is>
          <t>Tích hợp hệ thống</t>
        </is>
      </c>
      <c r="C20" s="37" t="inlineStr">
        <is>
          <t>A/R</t>
        </is>
      </c>
      <c r="D20" s="37" t="inlineStr">
        <is>
          <t>R</t>
        </is>
      </c>
      <c r="E20" s="37" t="inlineStr">
        <is>
          <t>R</t>
        </is>
      </c>
      <c r="F20" s="37" t="inlineStr">
        <is>
          <t>C</t>
        </is>
      </c>
      <c r="G20" s="37" t="inlineStr">
        <is>
          <t>I</t>
        </is>
      </c>
      <c r="H20" s="37" t="inlineStr">
        <is>
          <t>I</t>
        </is>
      </c>
      <c r="I20" s="21">
        <f>COUNTIF(C20:H20,"A*")</f>
        <v/>
      </c>
      <c r="J20" s="21">
        <f>IF(I20=1,"OK","LỖI")</f>
        <v/>
      </c>
    </row>
    <row r="21">
      <c r="A21" s="21" t="inlineStr">
        <is>
          <t>5.1-5.3</t>
        </is>
      </c>
      <c r="B21" s="21" t="inlineStr">
        <is>
          <t>Kiểm thử đơn vị, tích hợp</t>
        </is>
      </c>
      <c r="C21" s="37" t="inlineStr">
        <is>
          <t>A</t>
        </is>
      </c>
      <c r="D21" s="37" t="inlineStr">
        <is>
          <t>C</t>
        </is>
      </c>
      <c r="E21" s="37" t="inlineStr">
        <is>
          <t>C</t>
        </is>
      </c>
      <c r="F21" s="37" t="inlineStr">
        <is>
          <t>R</t>
        </is>
      </c>
      <c r="G21" s="37" t="inlineStr">
        <is>
          <t>I</t>
        </is>
      </c>
      <c r="H21" s="37" t="inlineStr">
        <is>
          <t>I</t>
        </is>
      </c>
      <c r="I21" s="21">
        <f>COUNTIF(C21:H21,"A*")</f>
        <v/>
      </c>
      <c r="J21" s="21">
        <f>IF(I21=1,"OK","LỖI")</f>
        <v/>
      </c>
    </row>
    <row r="22">
      <c r="A22" s="21" t="inlineStr">
        <is>
          <t>5.4</t>
        </is>
      </c>
      <c r="B22" s="21" t="inlineStr">
        <is>
          <t>Kiểm thử hệ thống</t>
        </is>
      </c>
      <c r="C22" s="37" t="inlineStr">
        <is>
          <t>A</t>
        </is>
      </c>
      <c r="D22" s="37" t="inlineStr">
        <is>
          <t>C</t>
        </is>
      </c>
      <c r="E22" s="37" t="inlineStr">
        <is>
          <t>C</t>
        </is>
      </c>
      <c r="F22" s="37" t="inlineStr">
        <is>
          <t>R</t>
        </is>
      </c>
      <c r="G22" s="37" t="inlineStr">
        <is>
          <t>I</t>
        </is>
      </c>
      <c r="H22" s="37" t="inlineStr">
        <is>
          <t>I</t>
        </is>
      </c>
      <c r="I22" s="21">
        <f>COUNTIF(C22:H22,"A*")</f>
        <v/>
      </c>
      <c r="J22" s="21">
        <f>IF(I22=1,"OK","LỖI")</f>
        <v/>
      </c>
    </row>
    <row r="23">
      <c r="A23" s="21" t="inlineStr">
        <is>
          <t>5.5</t>
        </is>
      </c>
      <c r="B23" s="21" t="inlineStr">
        <is>
          <t>Kiểm thử chấp nhận (UAT)</t>
        </is>
      </c>
      <c r="C23" s="37" t="inlineStr">
        <is>
          <t>R</t>
        </is>
      </c>
      <c r="D23" s="37" t="inlineStr">
        <is>
          <t>I</t>
        </is>
      </c>
      <c r="E23" s="37" t="inlineStr">
        <is>
          <t>I</t>
        </is>
      </c>
      <c r="F23" s="37" t="inlineStr">
        <is>
          <t>R</t>
        </is>
      </c>
      <c r="G23" s="37" t="inlineStr">
        <is>
          <t>A</t>
        </is>
      </c>
      <c r="H23" s="37" t="inlineStr">
        <is>
          <t>C</t>
        </is>
      </c>
      <c r="I23" s="21">
        <f>COUNTIF(C23:H23,"A*")</f>
        <v/>
      </c>
      <c r="J23" s="21">
        <f>IF(I23=1,"OK","LỖI")</f>
        <v/>
      </c>
    </row>
    <row r="24">
      <c r="A24" s="21" t="inlineStr">
        <is>
          <t>6.1-6.2</t>
        </is>
      </c>
      <c r="B24" s="21" t="inlineStr">
        <is>
          <t>Docker, CI/CD</t>
        </is>
      </c>
      <c r="C24" s="37" t="inlineStr">
        <is>
          <t>A</t>
        </is>
      </c>
      <c r="D24" s="37" t="inlineStr">
        <is>
          <t>C</t>
        </is>
      </c>
      <c r="E24" s="37" t="inlineStr">
        <is>
          <t>R</t>
        </is>
      </c>
      <c r="F24" s="37" t="inlineStr">
        <is>
          <t>C</t>
        </is>
      </c>
      <c r="G24" s="37" t="inlineStr">
        <is>
          <t>I</t>
        </is>
      </c>
      <c r="H24" s="37" t="inlineStr">
        <is>
          <t>I</t>
        </is>
      </c>
      <c r="I24" s="21">
        <f>COUNTIF(C24:H24,"A*")</f>
        <v/>
      </c>
      <c r="J24" s="21">
        <f>IF(I24=1,"OK","LỖI")</f>
        <v/>
      </c>
    </row>
    <row r="25">
      <c r="A25" s="21" t="inlineStr">
        <is>
          <t>6.3</t>
        </is>
      </c>
      <c r="B25" s="21" t="inlineStr">
        <is>
          <t>Triển khai cloud</t>
        </is>
      </c>
      <c r="C25" s="37" t="inlineStr">
        <is>
          <t>A/R</t>
        </is>
      </c>
      <c r="D25" s="37" t="inlineStr">
        <is>
          <t>C</t>
        </is>
      </c>
      <c r="E25" s="37" t="inlineStr">
        <is>
          <t>R</t>
        </is>
      </c>
      <c r="F25" s="37" t="inlineStr">
        <is>
          <t>C</t>
        </is>
      </c>
      <c r="G25" s="37" t="inlineStr">
        <is>
          <t>I</t>
        </is>
      </c>
      <c r="H25" s="37" t="inlineStr">
        <is>
          <t>I</t>
        </is>
      </c>
      <c r="I25" s="21">
        <f>COUNTIF(C25:H25,"A*")</f>
        <v/>
      </c>
      <c r="J25" s="21">
        <f>IF(I25=1,"OK","LỖI")</f>
        <v/>
      </c>
    </row>
    <row r="26">
      <c r="A26" s="21" t="inlineStr">
        <is>
          <t>6.4</t>
        </is>
      </c>
      <c r="B26" s="21" t="inlineStr">
        <is>
          <t>Tài liệu, đào tạo thủ thư</t>
        </is>
      </c>
      <c r="C26" s="37" t="inlineStr">
        <is>
          <t>A</t>
        </is>
      </c>
      <c r="D26" s="37" t="inlineStr">
        <is>
          <t>C</t>
        </is>
      </c>
      <c r="E26" s="37" t="inlineStr">
        <is>
          <t>C</t>
        </is>
      </c>
      <c r="F26" s="37" t="inlineStr">
        <is>
          <t>R</t>
        </is>
      </c>
      <c r="G26" s="37" t="inlineStr">
        <is>
          <t>C</t>
        </is>
      </c>
      <c r="H26" s="37" t="inlineStr">
        <is>
          <t>I</t>
        </is>
      </c>
      <c r="I26" s="21">
        <f>COUNTIF(C26:H26,"A*")</f>
        <v/>
      </c>
      <c r="J26" s="21">
        <f>IF(I26=1,"OK","LỖI")</f>
        <v/>
      </c>
    </row>
    <row r="27">
      <c r="A27" s="21" t="inlineStr">
        <is>
          <t>6.5</t>
        </is>
      </c>
      <c r="B27" s="21" t="inlineStr">
        <is>
          <t>Chuyển đổi dữ liệu, vận hành thử</t>
        </is>
      </c>
      <c r="C27" s="37" t="inlineStr">
        <is>
          <t>A</t>
        </is>
      </c>
      <c r="D27" s="37" t="inlineStr">
        <is>
          <t>I</t>
        </is>
      </c>
      <c r="E27" s="37" t="inlineStr">
        <is>
          <t>R</t>
        </is>
      </c>
      <c r="F27" s="37" t="inlineStr">
        <is>
          <t>C</t>
        </is>
      </c>
      <c r="G27" s="37" t="inlineStr">
        <is>
          <t>C</t>
        </is>
      </c>
      <c r="H27" s="37" t="inlineStr">
        <is>
          <t>I</t>
        </is>
      </c>
      <c r="I27" s="21">
        <f>COUNTIF(C27:H27,"A*")</f>
        <v/>
      </c>
      <c r="J27" s="21">
        <f>IF(I27=1,"OK","LỖI")</f>
        <v/>
      </c>
    </row>
    <row r="28">
      <c r="A28" s="21" t="inlineStr">
        <is>
          <t>7.1-7.3</t>
        </is>
      </c>
      <c r="B28" s="21" t="inlineStr">
        <is>
          <t>Theo dõi, rủi ro, EVA</t>
        </is>
      </c>
      <c r="C28" s="37" t="inlineStr">
        <is>
          <t>A/R</t>
        </is>
      </c>
      <c r="D28" s="37" t="inlineStr">
        <is>
          <t>C</t>
        </is>
      </c>
      <c r="E28" s="37" t="inlineStr">
        <is>
          <t>C</t>
        </is>
      </c>
      <c r="F28" s="37" t="inlineStr">
        <is>
          <t>C</t>
        </is>
      </c>
      <c r="G28" s="37" t="inlineStr">
        <is>
          <t>I</t>
        </is>
      </c>
      <c r="H28" s="37" t="inlineStr">
        <is>
          <t>I</t>
        </is>
      </c>
      <c r="I28" s="21">
        <f>COUNTIF(C28:H28,"A*")</f>
        <v/>
      </c>
      <c r="J28" s="21">
        <f>IF(I28=1,"OK","LỖI")</f>
        <v/>
      </c>
    </row>
    <row r="29">
      <c r="A29" s="21" t="inlineStr">
        <is>
          <t>7.4</t>
        </is>
      </c>
      <c r="B29" s="21" t="inlineStr">
        <is>
          <t>Nghiệm thu, bàn giao</t>
        </is>
      </c>
      <c r="C29" s="37" t="inlineStr">
        <is>
          <t>R</t>
        </is>
      </c>
      <c r="D29" s="37" t="inlineStr">
        <is>
          <t>C</t>
        </is>
      </c>
      <c r="E29" s="37" t="inlineStr">
        <is>
          <t>C</t>
        </is>
      </c>
      <c r="F29" s="37" t="inlineStr">
        <is>
          <t>C</t>
        </is>
      </c>
      <c r="G29" s="37" t="inlineStr">
        <is>
          <t>A</t>
        </is>
      </c>
      <c r="H29" s="37" t="inlineStr">
        <is>
          <t>I</t>
        </is>
      </c>
      <c r="I29" s="21">
        <f>COUNTIF(C29:H29,"A*")</f>
        <v/>
      </c>
      <c r="J29" s="21">
        <f>IF(I29=1,"OK","LỖI")</f>
        <v/>
      </c>
    </row>
    <row r="31">
      <c r="B31" s="4" t="inlineStr">
        <is>
          <t>Số hạng mục có đúng một A</t>
        </is>
      </c>
      <c r="I31">
        <f>COUNTIF(J5:J29,"OK")</f>
        <v/>
      </c>
    </row>
  </sheetData>
  <conditionalFormatting sqref="C5:H29">
    <cfRule type="expression" priority="1" dxfId="3">
      <formula>LEFT(C5,1)="A"</formula>
    </cfRule>
    <cfRule type="expression" priority="2" dxfId="6">
      <formula>C5="R"</formula>
    </cfRule>
  </conditionalFormatting>
  <conditionalFormatting sqref="J5:J29">
    <cfRule type="expression" priority="3" dxfId="3">
      <formula>J5="LỖI"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0"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28" customWidth="1" min="7" max="7"/>
  </cols>
  <sheetData>
    <row r="1">
      <c r="A1" s="1" t="inlineStr">
        <is>
          <t>Phân tích tài chính</t>
        </is>
      </c>
    </row>
    <row r="2">
      <c r="A2" s="2" t="inlineStr">
        <is>
          <t>Chi phí phát triển lấy từ sheet WBS. Lợi ích tính từ giả định ở sheet GiaDinh.</t>
        </is>
      </c>
    </row>
    <row r="4" ht="32" customHeight="1">
      <c r="A4" s="3" t="inlineStr">
        <is>
          <t>Khoản mục</t>
        </is>
      </c>
      <c r="B4" s="3" t="inlineStr">
        <is>
          <t>Giá trị</t>
        </is>
      </c>
    </row>
    <row r="5">
      <c r="A5" t="inlineStr">
        <is>
          <t>Lượt mượn trả mỗi năm</t>
        </is>
      </c>
      <c r="B5" s="14">
        <f>GiaDinh!$B$20*GiaDinh!$B$21</f>
        <v/>
      </c>
    </row>
    <row r="6">
      <c r="A6" t="inlineStr">
        <is>
          <t>Lợi ích 1: giờ thủ thư tiết kiệm khi mượn trả (đ/năm)</t>
        </is>
      </c>
      <c r="B6" s="14">
        <f>B5*GiaDinh!$B$22/60*GiaDinh!$B$25</f>
        <v/>
      </c>
    </row>
    <row r="7">
      <c r="A7" t="inlineStr">
        <is>
          <t>Lợi ích 2: giờ tra cứu hộ tiết kiệm (đ/năm)</t>
        </is>
      </c>
      <c r="B7" s="14">
        <f>GiaDinh!$B$23*GiaDinh!$B$24/60*GiaDinh!$B$25</f>
        <v/>
      </c>
    </row>
    <row r="8">
      <c r="A8" t="inlineStr">
        <is>
          <t>Lợi ích 3: giờ làm báo cáo tiết kiệm (đ/năm)</t>
        </is>
      </c>
      <c r="B8" s="14">
        <f>GiaDinh!$B$26*GiaDinh!$B$25</f>
        <v/>
      </c>
    </row>
    <row r="9">
      <c r="A9" t="inlineStr">
        <is>
          <t>Lợi ích 4: giảm thất thoát sách (đ/năm)</t>
        </is>
      </c>
      <c r="B9" s="14">
        <f>GiaDinh!$B$27*GiaDinh!$B$28</f>
        <v/>
      </c>
    </row>
    <row r="10">
      <c r="A10" s="4" t="inlineStr">
        <is>
          <t>Tổng lợi ích đầy đủ (đ/năm)</t>
        </is>
      </c>
      <c r="B10" s="14">
        <f>SUM(B6:B9)</f>
        <v/>
      </c>
    </row>
    <row r="11">
      <c r="A11" t="inlineStr">
        <is>
          <t>Vốn đầu tư ban đầu = BAC + dự phòng (đ)</t>
        </is>
      </c>
      <c r="B11" s="14">
        <f>WBS!$L$49</f>
        <v/>
      </c>
    </row>
    <row r="12">
      <c r="A12" t="inlineStr">
        <is>
          <t>Chi phí vận hành mỗi năm (đ)</t>
        </is>
      </c>
      <c r="B12" s="14">
        <f>GiaDinh!$B$32+GiaDinh!$B$33*GiaDinh!$B$5+GiaDinh!$B$34</f>
        <v/>
      </c>
    </row>
    <row r="14">
      <c r="A14" s="4" t="inlineStr">
        <is>
          <t>Dòng tiền</t>
        </is>
      </c>
    </row>
    <row r="15" ht="32" customHeight="1">
      <c r="A15" s="3" t="inlineStr">
        <is>
          <t>Năm</t>
        </is>
      </c>
      <c r="B15" s="3" t="inlineStr">
        <is>
          <t>Lợi ích (đ)</t>
        </is>
      </c>
      <c r="C15" s="3" t="inlineStr">
        <is>
          <t>Chi phí (đ)</t>
        </is>
      </c>
      <c r="D15" s="3" t="inlineStr">
        <is>
          <t>Dòng tiền ròng (đ)</t>
        </is>
      </c>
      <c r="E15" s="3" t="inlineStr">
        <is>
          <t>Hệ số chiết khấu</t>
        </is>
      </c>
      <c r="F15" s="3" t="inlineStr">
        <is>
          <t>Giá trị hiện tại (đ)</t>
        </is>
      </c>
      <c r="G15" s="3" t="inlineStr">
        <is>
          <t>Luỹ kế không chiết khấu (đ)</t>
        </is>
      </c>
    </row>
    <row r="16">
      <c r="A16" s="21" t="n">
        <v>0</v>
      </c>
      <c r="B16" s="32" t="n">
        <v>0</v>
      </c>
      <c r="C16" s="32">
        <f>B11</f>
        <v/>
      </c>
      <c r="D16" s="32">
        <f>B16-C16</f>
        <v/>
      </c>
      <c r="E16" s="38">
        <f>1/(1+GiaDinh!$B$10)^A16</f>
        <v/>
      </c>
      <c r="F16" s="32">
        <f>D16*E16</f>
        <v/>
      </c>
      <c r="G16" s="32">
        <f>D16</f>
        <v/>
      </c>
    </row>
    <row r="17">
      <c r="A17" s="21" t="n">
        <v>1</v>
      </c>
      <c r="B17" s="32">
        <f>$B$10*GiaDinh!$B$29</f>
        <v/>
      </c>
      <c r="C17" s="32">
        <f>$B$12</f>
        <v/>
      </c>
      <c r="D17" s="32">
        <f>B17-C17</f>
        <v/>
      </c>
      <c r="E17" s="38">
        <f>1/(1+GiaDinh!$B$10)^A17</f>
        <v/>
      </c>
      <c r="F17" s="32">
        <f>D17*E17</f>
        <v/>
      </c>
      <c r="G17" s="32">
        <f>G16+D17</f>
        <v/>
      </c>
    </row>
    <row r="18">
      <c r="A18" s="21" t="n">
        <v>2</v>
      </c>
      <c r="B18" s="32">
        <f>$B$10*GiaDinh!$B$30</f>
        <v/>
      </c>
      <c r="C18" s="32">
        <f>$B$12</f>
        <v/>
      </c>
      <c r="D18" s="32">
        <f>B18-C18</f>
        <v/>
      </c>
      <c r="E18" s="38">
        <f>1/(1+GiaDinh!$B$10)^A18</f>
        <v/>
      </c>
      <c r="F18" s="32">
        <f>D18*E18</f>
        <v/>
      </c>
      <c r="G18" s="32">
        <f>G17+D18</f>
        <v/>
      </c>
    </row>
    <row r="19">
      <c r="A19" s="21" t="n">
        <v>3</v>
      </c>
      <c r="B19" s="32">
        <f>$B$10*GiaDinh!$B$31</f>
        <v/>
      </c>
      <c r="C19" s="32">
        <f>$B$12</f>
        <v/>
      </c>
      <c r="D19" s="32">
        <f>B19-C19</f>
        <v/>
      </c>
      <c r="E19" s="38">
        <f>1/(1+GiaDinh!$B$10)^A19</f>
        <v/>
      </c>
      <c r="F19" s="32">
        <f>D19*E19</f>
        <v/>
      </c>
      <c r="G19" s="32">
        <f>G18+D19</f>
        <v/>
      </c>
    </row>
    <row r="21">
      <c r="A21" t="inlineStr">
        <is>
          <t>NPV (3 năm)</t>
        </is>
      </c>
      <c r="B21" s="39">
        <f>SUM(F16:F19)</f>
        <v/>
      </c>
    </row>
    <row r="22">
      <c r="A22" t="inlineStr">
        <is>
          <t>ROI (3 năm) = (tổng dòng tiền ròng các năm 1-3 - vốn) / vốn</t>
        </is>
      </c>
      <c r="B22" s="40">
        <f>(SUM(D17:D19)-B11)/B11</f>
        <v/>
      </c>
    </row>
    <row r="23">
      <c r="A23" t="inlineStr">
        <is>
          <t>Thời gian hoàn vốn (năm, không chiết khấu)</t>
        </is>
      </c>
      <c r="B23" s="41">
        <f>IF(D17&gt;=B11,B11/D17,IF(D17+D18&gt;=B11,1+(B11-D17)/D18,2+(B11-D17-D18)/D19))</f>
        <v/>
      </c>
    </row>
    <row r="24">
      <c r="A24" t="inlineStr">
        <is>
          <t>Lợi ích / chi phí (BCR) = tổng PV lợi ích / (vốn + PV vận hành)</t>
        </is>
      </c>
      <c r="B24" s="41">
        <f>(B17/(1+GiaDinh!$B$10)+B18/(1+GiaDinh!$B$10)^2+B19/(1+GiaDinh!$B$10)^3)/(B11+C17/(1+GiaDinh!$B$10)+C18/(1+GiaDinh!$B$10)^2+C19/(1+GiaDinh!$B$10)^3)</f>
        <v/>
      </c>
    </row>
    <row r="27">
      <c r="A27" s="4" t="inlineStr">
        <is>
          <t>Phân tích độ nhạy: NPV (đ) theo mức lợi ích và tỉ lệ chiết khấu</t>
        </is>
      </c>
    </row>
    <row r="28" ht="32" customHeight="1">
      <c r="A28" s="3" t="inlineStr">
        <is>
          <t>Lợi ích so với kế hoạch \ Chiết khấu</t>
        </is>
      </c>
      <c r="B28" s="3" t="n">
        <v>0.08</v>
      </c>
      <c r="C28" s="3" t="n">
        <v>0.1</v>
      </c>
      <c r="D28" s="3" t="n">
        <v>0.12</v>
      </c>
      <c r="E28" s="3" t="n">
        <v>0.15</v>
      </c>
    </row>
    <row r="29">
      <c r="A29" s="42" t="n">
        <v>1</v>
      </c>
      <c r="B29" s="32">
        <f>-$B$11+($B$10*GiaDinh!$B$29*$A29-$B$12)/(1+B$28)+($B$10*GiaDinh!$B$30*$A29-$B$12)/(1+B$28)^2+($B$10*GiaDinh!$B$31*$A29-$B$12)/(1+B$28)^3</f>
        <v/>
      </c>
      <c r="C29" s="32">
        <f>-$B$11+($B$10*GiaDinh!$B$29*$A29-$B$12)/(1+C$28)+($B$10*GiaDinh!$B$30*$A29-$B$12)/(1+C$28)^2+($B$10*GiaDinh!$B$31*$A29-$B$12)/(1+C$28)^3</f>
        <v/>
      </c>
      <c r="D29" s="32">
        <f>-$B$11+($B$10*GiaDinh!$B$29*$A29-$B$12)/(1+D$28)+($B$10*GiaDinh!$B$30*$A29-$B$12)/(1+D$28)^2+($B$10*GiaDinh!$B$31*$A29-$B$12)/(1+D$28)^3</f>
        <v/>
      </c>
      <c r="E29" s="32">
        <f>-$B$11+($B$10*GiaDinh!$B$29*$A29-$B$12)/(1+E$28)+($B$10*GiaDinh!$B$30*$A29-$B$12)/(1+E$28)^2+($B$10*GiaDinh!$B$31*$A29-$B$12)/(1+E$28)^3</f>
        <v/>
      </c>
    </row>
    <row r="30">
      <c r="A30" s="42" t="n">
        <v>0.7</v>
      </c>
      <c r="B30" s="32">
        <f>-$B$11+($B$10*GiaDinh!$B$29*$A30-$B$12)/(1+B$28)+($B$10*GiaDinh!$B$30*$A30-$B$12)/(1+B$28)^2+($B$10*GiaDinh!$B$31*$A30-$B$12)/(1+B$28)^3</f>
        <v/>
      </c>
      <c r="C30" s="32">
        <f>-$B$11+($B$10*GiaDinh!$B$29*$A30-$B$12)/(1+C$28)+($B$10*GiaDinh!$B$30*$A30-$B$12)/(1+C$28)^2+($B$10*GiaDinh!$B$31*$A30-$B$12)/(1+C$28)^3</f>
        <v/>
      </c>
      <c r="D30" s="32">
        <f>-$B$11+($B$10*GiaDinh!$B$29*$A30-$B$12)/(1+D$28)+($B$10*GiaDinh!$B$30*$A30-$B$12)/(1+D$28)^2+($B$10*GiaDinh!$B$31*$A30-$B$12)/(1+D$28)^3</f>
        <v/>
      </c>
      <c r="E30" s="32">
        <f>-$B$11+($B$10*GiaDinh!$B$29*$A30-$B$12)/(1+E$28)+($B$10*GiaDinh!$B$30*$A30-$B$12)/(1+E$28)^2+($B$10*GiaDinh!$B$31*$A30-$B$12)/(1+E$28)^3</f>
        <v/>
      </c>
    </row>
    <row r="31">
      <c r="A31" s="42" t="n">
        <v>0.5</v>
      </c>
      <c r="B31" s="32">
        <f>-$B$11+($B$10*GiaDinh!$B$29*$A31-$B$12)/(1+B$28)+($B$10*GiaDinh!$B$30*$A31-$B$12)/(1+B$28)^2+($B$10*GiaDinh!$B$31*$A31-$B$12)/(1+B$28)^3</f>
        <v/>
      </c>
      <c r="C31" s="32">
        <f>-$B$11+($B$10*GiaDinh!$B$29*$A31-$B$12)/(1+C$28)+($B$10*GiaDinh!$B$30*$A31-$B$12)/(1+C$28)^2+($B$10*GiaDinh!$B$31*$A31-$B$12)/(1+C$28)^3</f>
        <v/>
      </c>
      <c r="D31" s="32">
        <f>-$B$11+($B$10*GiaDinh!$B$29*$A31-$B$12)/(1+D$28)+($B$10*GiaDinh!$B$30*$A31-$B$12)/(1+D$28)^2+($B$10*GiaDinh!$B$31*$A31-$B$12)/(1+D$28)^3</f>
        <v/>
      </c>
      <c r="E31" s="32">
        <f>-$B$11+($B$10*GiaDinh!$B$29*$A31-$B$12)/(1+E$28)+($B$10*GiaDinh!$B$30*$A31-$B$12)/(1+E$28)^2+($B$10*GiaDinh!$B$31*$A31-$B$12)/(1+E$28)^3</f>
        <v/>
      </c>
    </row>
    <row r="32">
      <c r="A32" s="42" t="n">
        <v>0.3</v>
      </c>
      <c r="B32" s="32">
        <f>-$B$11+($B$10*GiaDinh!$B$29*$A32-$B$12)/(1+B$28)+($B$10*GiaDinh!$B$30*$A32-$B$12)/(1+B$28)^2+($B$10*GiaDinh!$B$31*$A32-$B$12)/(1+B$28)^3</f>
        <v/>
      </c>
      <c r="C32" s="32">
        <f>-$B$11+($B$10*GiaDinh!$B$29*$A32-$B$12)/(1+C$28)+($B$10*GiaDinh!$B$30*$A32-$B$12)/(1+C$28)^2+($B$10*GiaDinh!$B$31*$A32-$B$12)/(1+C$28)^3</f>
        <v/>
      </c>
      <c r="D32" s="32">
        <f>-$B$11+($B$10*GiaDinh!$B$29*$A32-$B$12)/(1+D$28)+($B$10*GiaDinh!$B$30*$A32-$B$12)/(1+D$28)^2+($B$10*GiaDinh!$B$31*$A32-$B$12)/(1+D$28)^3</f>
        <v/>
      </c>
      <c r="E32" s="32">
        <f>-$B$11+($B$10*GiaDinh!$B$29*$A32-$B$12)/(1+E$28)+($B$10*GiaDinh!$B$30*$A32-$B$12)/(1+E$28)^2+($B$10*GiaDinh!$B$31*$A32-$B$12)/(1+E$28)^3</f>
        <v/>
      </c>
    </row>
    <row r="34">
      <c r="A34" t="inlineStr">
        <is>
          <t>Điểm hoà vốn: mức lợi ích tối thiểu để NPV = 0 (so với kế hoạch)</t>
        </is>
      </c>
      <c r="B34" s="43">
        <f>($B$11+$B$12*(1/(1+GiaDinh!$B$10)+1/(1+GiaDinh!$B$10)^2+1/(1+GiaDinh!$B$10)^3))/($B$10*(GiaDinh!$B$29/(1+GiaDinh!$B$10)+GiaDinh!$B$30/(1+GiaDinh!$B$10)^2+GiaDinh!$B$31/(1+GiaDinh!$B$10)^3))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8" customWidth="1" min="13" max="13"/>
    <col width="8" customWidth="1" min="14" max="14"/>
    <col width="16" customWidth="1" min="15" max="15"/>
    <col width="17" customWidth="1" min="16" max="16"/>
    <col width="14" customWidth="1" min="17" max="17"/>
    <col width="14" customWidth="1" min="18" max="18"/>
    <col width="8" customWidth="1" min="19" max="19"/>
    <col width="10" customWidth="1" min="20" max="20"/>
  </cols>
  <sheetData>
    <row r="1">
      <c r="A1" s="1" t="inlineStr">
        <is>
          <t>Phân tích giá trị thu được (EVA)</t>
        </is>
      </c>
    </row>
    <row r="2">
      <c r="A2" s="2" t="inlineStr">
        <is>
          <t>PV từ lịch kế hoạch. EV = EV trước + giờ kế hoạch tuần x hiệu suất tiến độ (chặn ở BAC). AC = AC trước + (EV tuần) x hệ số chi phí. Số mô phỏng có kiểm soát.</t>
        </is>
      </c>
    </row>
    <row r="4" ht="32" customHeight="1">
      <c r="A4" s="3" t="inlineStr">
        <is>
          <t>Tuần</t>
        </is>
      </c>
      <c r="B4" s="3" t="inlineStr">
        <is>
          <t>Từ ngày</t>
        </is>
      </c>
      <c r="C4" s="3" t="inlineStr">
        <is>
          <t>PV tuần (đ)</t>
        </is>
      </c>
      <c r="D4" s="3" t="inlineStr">
        <is>
          <t>Hiệu suất tiến độ</t>
        </is>
      </c>
      <c r="E4" s="3" t="inlineStr">
        <is>
          <t>Hệ số chi phí</t>
        </is>
      </c>
      <c r="F4" s="3" t="inlineStr">
        <is>
          <t>EV tuần (đ)</t>
        </is>
      </c>
      <c r="G4" s="3" t="inlineStr">
        <is>
          <t>AC tuần (đ)</t>
        </is>
      </c>
      <c r="H4" s="3" t="inlineStr">
        <is>
          <t>PV (đ)</t>
        </is>
      </c>
      <c r="I4" s="3" t="inlineStr">
        <is>
          <t>EV (đ)</t>
        </is>
      </c>
      <c r="J4" s="3" t="inlineStr">
        <is>
          <t>AC (đ)</t>
        </is>
      </c>
      <c r="K4" s="3" t="inlineStr">
        <is>
          <t>SV (đ)</t>
        </is>
      </c>
      <c r="L4" s="3" t="inlineStr">
        <is>
          <t>CV (đ)</t>
        </is>
      </c>
      <c r="M4" s="3" t="inlineStr">
        <is>
          <t>SPI</t>
        </is>
      </c>
      <c r="N4" s="3" t="inlineStr">
        <is>
          <t>CPI</t>
        </is>
      </c>
      <c r="O4" s="3" t="inlineStr">
        <is>
          <t>EAC = BAC/CPI (đ)</t>
        </is>
      </c>
      <c r="P4" s="3" t="inlineStr">
        <is>
          <t>EAC theo SPI x CPI (đ)</t>
        </is>
      </c>
      <c r="Q4" s="3" t="inlineStr">
        <is>
          <t>ETC (đ)</t>
        </is>
      </c>
      <c r="R4" s="3" t="inlineStr">
        <is>
          <t>VAC (đ)</t>
        </is>
      </c>
      <c r="S4" s="3" t="inlineStr">
        <is>
          <t>TCPI</t>
        </is>
      </c>
      <c r="T4" s="3" t="inlineStr">
        <is>
          <t>Mốc báo cáo</t>
        </is>
      </c>
    </row>
    <row r="5">
      <c r="A5" s="21" t="n">
        <v>1</v>
      </c>
      <c r="B5" s="44" t="n">
        <v>46286</v>
      </c>
      <c r="C5" s="32">
        <f>NguonLuc!H57</f>
        <v/>
      </c>
      <c r="D5" s="45">
        <f>GiaDinh!$B$39</f>
        <v/>
      </c>
      <c r="E5" s="45">
        <f>GiaDinh!$C$39</f>
        <v/>
      </c>
      <c r="F5" s="32">
        <f>MIN(C5*D5,WBS!$L$47-0)</f>
        <v/>
      </c>
      <c r="G5" s="32">
        <f>F5*E5</f>
        <v/>
      </c>
      <c r="H5" s="32">
        <f>NguonLuc!H58</f>
        <v/>
      </c>
      <c r="I5" s="32">
        <f>0+F5</f>
        <v/>
      </c>
      <c r="J5" s="32">
        <f>0+G5</f>
        <v/>
      </c>
      <c r="K5" s="32">
        <f>I5-H5</f>
        <v/>
      </c>
      <c r="L5" s="32">
        <f>I5-J5</f>
        <v/>
      </c>
      <c r="M5" s="46">
        <f>I5/H5</f>
        <v/>
      </c>
      <c r="N5" s="46">
        <f>I5/J5</f>
        <v/>
      </c>
      <c r="O5" s="32">
        <f>WBS!$L$47/N5</f>
        <v/>
      </c>
      <c r="P5" s="32">
        <f>J5+(WBS!$L$47-I5)/(N5*M5)</f>
        <v/>
      </c>
      <c r="Q5" s="32">
        <f>O5-J5</f>
        <v/>
      </c>
      <c r="R5" s="32">
        <f>WBS!$L$47-O5</f>
        <v/>
      </c>
      <c r="S5" s="46">
        <f>IF(WBS!$L$47-J5=0,"",(WBS!$L$47-I5)/(WBS!$L$47-J5))</f>
        <v/>
      </c>
      <c r="T5" s="29" t="inlineStr"/>
    </row>
    <row r="6">
      <c r="A6" s="21" t="n">
        <v>2</v>
      </c>
      <c r="B6" s="44" t="n">
        <v>46293</v>
      </c>
      <c r="C6" s="32">
        <f>NguonLuc!I57</f>
        <v/>
      </c>
      <c r="D6" s="45">
        <f>GiaDinh!$B$39</f>
        <v/>
      </c>
      <c r="E6" s="45">
        <f>GiaDinh!$C$39</f>
        <v/>
      </c>
      <c r="F6" s="32">
        <f>MIN(C6*D6,WBS!$L$47-I5)</f>
        <v/>
      </c>
      <c r="G6" s="32">
        <f>F6*E6</f>
        <v/>
      </c>
      <c r="H6" s="32">
        <f>NguonLuc!I58</f>
        <v/>
      </c>
      <c r="I6" s="32">
        <f>I5+F6</f>
        <v/>
      </c>
      <c r="J6" s="32">
        <f>J5+G6</f>
        <v/>
      </c>
      <c r="K6" s="32">
        <f>I6-H6</f>
        <v/>
      </c>
      <c r="L6" s="32">
        <f>I6-J6</f>
        <v/>
      </c>
      <c r="M6" s="46">
        <f>I6/H6</f>
        <v/>
      </c>
      <c r="N6" s="46">
        <f>I6/J6</f>
        <v/>
      </c>
      <c r="O6" s="32">
        <f>WBS!$L$47/N6</f>
        <v/>
      </c>
      <c r="P6" s="32">
        <f>J6+(WBS!$L$47-I6)/(N6*M6)</f>
        <v/>
      </c>
      <c r="Q6" s="32">
        <f>O6-J6</f>
        <v/>
      </c>
      <c r="R6" s="32">
        <f>WBS!$L$47-O6</f>
        <v/>
      </c>
      <c r="S6" s="46">
        <f>IF(WBS!$L$47-J6=0,"",(WBS!$L$47-I6)/(WBS!$L$47-J6))</f>
        <v/>
      </c>
      <c r="T6" s="29" t="inlineStr"/>
    </row>
    <row r="7">
      <c r="A7" s="21" t="n">
        <v>3</v>
      </c>
      <c r="B7" s="44" t="n">
        <v>46300</v>
      </c>
      <c r="C7" s="32">
        <f>NguonLuc!J57</f>
        <v/>
      </c>
      <c r="D7" s="45">
        <f>GiaDinh!$B$39</f>
        <v/>
      </c>
      <c r="E7" s="45">
        <f>GiaDinh!$C$39</f>
        <v/>
      </c>
      <c r="F7" s="32">
        <f>MIN(C7*D7,WBS!$L$47-I6)</f>
        <v/>
      </c>
      <c r="G7" s="32">
        <f>F7*E7</f>
        <v/>
      </c>
      <c r="H7" s="32">
        <f>NguonLuc!J58</f>
        <v/>
      </c>
      <c r="I7" s="32">
        <f>I6+F7</f>
        <v/>
      </c>
      <c r="J7" s="32">
        <f>J6+G7</f>
        <v/>
      </c>
      <c r="K7" s="32">
        <f>I7-H7</f>
        <v/>
      </c>
      <c r="L7" s="32">
        <f>I7-J7</f>
        <v/>
      </c>
      <c r="M7" s="46">
        <f>I7/H7</f>
        <v/>
      </c>
      <c r="N7" s="46">
        <f>I7/J7</f>
        <v/>
      </c>
      <c r="O7" s="32">
        <f>WBS!$L$47/N7</f>
        <v/>
      </c>
      <c r="P7" s="32">
        <f>J7+(WBS!$L$47-I7)/(N7*M7)</f>
        <v/>
      </c>
      <c r="Q7" s="32">
        <f>O7-J7</f>
        <v/>
      </c>
      <c r="R7" s="32">
        <f>WBS!$L$47-O7</f>
        <v/>
      </c>
      <c r="S7" s="46">
        <f>IF(WBS!$L$47-J7=0,"",(WBS!$L$47-I7)/(WBS!$L$47-J7))</f>
        <v/>
      </c>
      <c r="T7" s="29" t="inlineStr"/>
    </row>
    <row r="8">
      <c r="A8" s="21" t="n">
        <v>4</v>
      </c>
      <c r="B8" s="44" t="n">
        <v>46307</v>
      </c>
      <c r="C8" s="32">
        <f>NguonLuc!K57</f>
        <v/>
      </c>
      <c r="D8" s="45">
        <f>GiaDinh!$B$39</f>
        <v/>
      </c>
      <c r="E8" s="45">
        <f>GiaDinh!$C$39</f>
        <v/>
      </c>
      <c r="F8" s="32">
        <f>MIN(C8*D8,WBS!$L$47-I7)</f>
        <v/>
      </c>
      <c r="G8" s="32">
        <f>F8*E8</f>
        <v/>
      </c>
      <c r="H8" s="32">
        <f>NguonLuc!K58</f>
        <v/>
      </c>
      <c r="I8" s="32">
        <f>I7+F8</f>
        <v/>
      </c>
      <c r="J8" s="32">
        <f>J7+G8</f>
        <v/>
      </c>
      <c r="K8" s="32">
        <f>I8-H8</f>
        <v/>
      </c>
      <c r="L8" s="32">
        <f>I8-J8</f>
        <v/>
      </c>
      <c r="M8" s="46">
        <f>I8/H8</f>
        <v/>
      </c>
      <c r="N8" s="46">
        <f>I8/J8</f>
        <v/>
      </c>
      <c r="O8" s="32">
        <f>WBS!$L$47/N8</f>
        <v/>
      </c>
      <c r="P8" s="32">
        <f>J8+(WBS!$L$47-I8)/(N8*M8)</f>
        <v/>
      </c>
      <c r="Q8" s="32">
        <f>O8-J8</f>
        <v/>
      </c>
      <c r="R8" s="32">
        <f>WBS!$L$47-O8</f>
        <v/>
      </c>
      <c r="S8" s="46">
        <f>IF(WBS!$L$47-J8=0,"",(WBS!$L$47-I8)/(WBS!$L$47-J8))</f>
        <v/>
      </c>
      <c r="T8" s="29" t="inlineStr">
        <is>
          <t>Báo cáo</t>
        </is>
      </c>
    </row>
    <row r="9">
      <c r="A9" s="21" t="n">
        <v>5</v>
      </c>
      <c r="B9" s="44" t="n">
        <v>46314</v>
      </c>
      <c r="C9" s="32">
        <f>NguonLuc!L57</f>
        <v/>
      </c>
      <c r="D9" s="45">
        <f>GiaDinh!$B$40</f>
        <v/>
      </c>
      <c r="E9" s="45">
        <f>GiaDinh!$C$40</f>
        <v/>
      </c>
      <c r="F9" s="32">
        <f>MIN(C9*D9,WBS!$L$47-I8)</f>
        <v/>
      </c>
      <c r="G9" s="32">
        <f>F9*E9</f>
        <v/>
      </c>
      <c r="H9" s="32">
        <f>NguonLuc!L58</f>
        <v/>
      </c>
      <c r="I9" s="32">
        <f>I8+F9</f>
        <v/>
      </c>
      <c r="J9" s="32">
        <f>J8+G9</f>
        <v/>
      </c>
      <c r="K9" s="32">
        <f>I9-H9</f>
        <v/>
      </c>
      <c r="L9" s="32">
        <f>I9-J9</f>
        <v/>
      </c>
      <c r="M9" s="46">
        <f>I9/H9</f>
        <v/>
      </c>
      <c r="N9" s="46">
        <f>I9/J9</f>
        <v/>
      </c>
      <c r="O9" s="32">
        <f>WBS!$L$47/N9</f>
        <v/>
      </c>
      <c r="P9" s="32">
        <f>J9+(WBS!$L$47-I9)/(N9*M9)</f>
        <v/>
      </c>
      <c r="Q9" s="32">
        <f>O9-J9</f>
        <v/>
      </c>
      <c r="R9" s="32">
        <f>WBS!$L$47-O9</f>
        <v/>
      </c>
      <c r="S9" s="46">
        <f>IF(WBS!$L$47-J9=0,"",(WBS!$L$47-I9)/(WBS!$L$47-J9))</f>
        <v/>
      </c>
      <c r="T9" s="29" t="inlineStr"/>
    </row>
    <row r="10">
      <c r="A10" s="21" t="n">
        <v>6</v>
      </c>
      <c r="B10" s="44" t="n">
        <v>46321</v>
      </c>
      <c r="C10" s="32">
        <f>NguonLuc!M57</f>
        <v/>
      </c>
      <c r="D10" s="45">
        <f>GiaDinh!$B$40</f>
        <v/>
      </c>
      <c r="E10" s="45">
        <f>GiaDinh!$C$40</f>
        <v/>
      </c>
      <c r="F10" s="32">
        <f>MIN(C10*D10,WBS!$L$47-I9)</f>
        <v/>
      </c>
      <c r="G10" s="32">
        <f>F10*E10</f>
        <v/>
      </c>
      <c r="H10" s="32">
        <f>NguonLuc!M58</f>
        <v/>
      </c>
      <c r="I10" s="32">
        <f>I9+F10</f>
        <v/>
      </c>
      <c r="J10" s="32">
        <f>J9+G10</f>
        <v/>
      </c>
      <c r="K10" s="32">
        <f>I10-H10</f>
        <v/>
      </c>
      <c r="L10" s="32">
        <f>I10-J10</f>
        <v/>
      </c>
      <c r="M10" s="46">
        <f>I10/H10</f>
        <v/>
      </c>
      <c r="N10" s="46">
        <f>I10/J10</f>
        <v/>
      </c>
      <c r="O10" s="32">
        <f>WBS!$L$47/N10</f>
        <v/>
      </c>
      <c r="P10" s="32">
        <f>J10+(WBS!$L$47-I10)/(N10*M10)</f>
        <v/>
      </c>
      <c r="Q10" s="32">
        <f>O10-J10</f>
        <v/>
      </c>
      <c r="R10" s="32">
        <f>WBS!$L$47-O10</f>
        <v/>
      </c>
      <c r="S10" s="46">
        <f>IF(WBS!$L$47-J10=0,"",(WBS!$L$47-I10)/(WBS!$L$47-J10))</f>
        <v/>
      </c>
      <c r="T10" s="29" t="inlineStr"/>
    </row>
    <row r="11">
      <c r="A11" s="21" t="n">
        <v>7</v>
      </c>
      <c r="B11" s="44" t="n">
        <v>46328</v>
      </c>
      <c r="C11" s="32">
        <f>NguonLuc!N57</f>
        <v/>
      </c>
      <c r="D11" s="45">
        <f>GiaDinh!$B$40</f>
        <v/>
      </c>
      <c r="E11" s="45">
        <f>GiaDinh!$C$40</f>
        <v/>
      </c>
      <c r="F11" s="32">
        <f>MIN(C11*D11,WBS!$L$47-I10)</f>
        <v/>
      </c>
      <c r="G11" s="32">
        <f>F11*E11</f>
        <v/>
      </c>
      <c r="H11" s="32">
        <f>NguonLuc!N58</f>
        <v/>
      </c>
      <c r="I11" s="32">
        <f>I10+F11</f>
        <v/>
      </c>
      <c r="J11" s="32">
        <f>J10+G11</f>
        <v/>
      </c>
      <c r="K11" s="32">
        <f>I11-H11</f>
        <v/>
      </c>
      <c r="L11" s="32">
        <f>I11-J11</f>
        <v/>
      </c>
      <c r="M11" s="46">
        <f>I11/H11</f>
        <v/>
      </c>
      <c r="N11" s="46">
        <f>I11/J11</f>
        <v/>
      </c>
      <c r="O11" s="32">
        <f>WBS!$L$47/N11</f>
        <v/>
      </c>
      <c r="P11" s="32">
        <f>J11+(WBS!$L$47-I11)/(N11*M11)</f>
        <v/>
      </c>
      <c r="Q11" s="32">
        <f>O11-J11</f>
        <v/>
      </c>
      <c r="R11" s="32">
        <f>WBS!$L$47-O11</f>
        <v/>
      </c>
      <c r="S11" s="46">
        <f>IF(WBS!$L$47-J11=0,"",(WBS!$L$47-I11)/(WBS!$L$47-J11))</f>
        <v/>
      </c>
      <c r="T11" s="29" t="inlineStr"/>
    </row>
    <row r="12">
      <c r="A12" s="21" t="n">
        <v>8</v>
      </c>
      <c r="B12" s="44" t="n">
        <v>46335</v>
      </c>
      <c r="C12" s="32">
        <f>NguonLuc!O57</f>
        <v/>
      </c>
      <c r="D12" s="45">
        <f>GiaDinh!$B$40</f>
        <v/>
      </c>
      <c r="E12" s="45">
        <f>GiaDinh!$C$40</f>
        <v/>
      </c>
      <c r="F12" s="32">
        <f>MIN(C12*D12,WBS!$L$47-I11)</f>
        <v/>
      </c>
      <c r="G12" s="32">
        <f>F12*E12</f>
        <v/>
      </c>
      <c r="H12" s="32">
        <f>NguonLuc!O58</f>
        <v/>
      </c>
      <c r="I12" s="32">
        <f>I11+F12</f>
        <v/>
      </c>
      <c r="J12" s="32">
        <f>J11+G12</f>
        <v/>
      </c>
      <c r="K12" s="32">
        <f>I12-H12</f>
        <v/>
      </c>
      <c r="L12" s="32">
        <f>I12-J12</f>
        <v/>
      </c>
      <c r="M12" s="46">
        <f>I12/H12</f>
        <v/>
      </c>
      <c r="N12" s="46">
        <f>I12/J12</f>
        <v/>
      </c>
      <c r="O12" s="32">
        <f>WBS!$L$47/N12</f>
        <v/>
      </c>
      <c r="P12" s="32">
        <f>J12+(WBS!$L$47-I12)/(N12*M12)</f>
        <v/>
      </c>
      <c r="Q12" s="32">
        <f>O12-J12</f>
        <v/>
      </c>
      <c r="R12" s="32">
        <f>WBS!$L$47-O12</f>
        <v/>
      </c>
      <c r="S12" s="46">
        <f>IF(WBS!$L$47-J12=0,"",(WBS!$L$47-I12)/(WBS!$L$47-J12))</f>
        <v/>
      </c>
      <c r="T12" s="29" t="inlineStr">
        <is>
          <t>Báo cáo</t>
        </is>
      </c>
    </row>
    <row r="13">
      <c r="A13" s="21" t="n">
        <v>9</v>
      </c>
      <c r="B13" s="44" t="n">
        <v>46342</v>
      </c>
      <c r="C13" s="32">
        <f>NguonLuc!P57</f>
        <v/>
      </c>
      <c r="D13" s="45">
        <f>GiaDinh!$B$41</f>
        <v/>
      </c>
      <c r="E13" s="45">
        <f>GiaDinh!$C$41</f>
        <v/>
      </c>
      <c r="F13" s="32">
        <f>MIN(C13*D13,WBS!$L$47-I12)</f>
        <v/>
      </c>
      <c r="G13" s="32">
        <f>F13*E13</f>
        <v/>
      </c>
      <c r="H13" s="32">
        <f>NguonLuc!P58</f>
        <v/>
      </c>
      <c r="I13" s="32">
        <f>I12+F13</f>
        <v/>
      </c>
      <c r="J13" s="32">
        <f>J12+G13</f>
        <v/>
      </c>
      <c r="K13" s="32">
        <f>I13-H13</f>
        <v/>
      </c>
      <c r="L13" s="32">
        <f>I13-J13</f>
        <v/>
      </c>
      <c r="M13" s="46">
        <f>I13/H13</f>
        <v/>
      </c>
      <c r="N13" s="46">
        <f>I13/J13</f>
        <v/>
      </c>
      <c r="O13" s="32">
        <f>WBS!$L$47/N13</f>
        <v/>
      </c>
      <c r="P13" s="32">
        <f>J13+(WBS!$L$47-I13)/(N13*M13)</f>
        <v/>
      </c>
      <c r="Q13" s="32">
        <f>O13-J13</f>
        <v/>
      </c>
      <c r="R13" s="32">
        <f>WBS!$L$47-O13</f>
        <v/>
      </c>
      <c r="S13" s="46">
        <f>IF(WBS!$L$47-J13=0,"",(WBS!$L$47-I13)/(WBS!$L$47-J13))</f>
        <v/>
      </c>
      <c r="T13" s="29" t="inlineStr"/>
    </row>
    <row r="14">
      <c r="A14" s="21" t="n">
        <v>10</v>
      </c>
      <c r="B14" s="44" t="n">
        <v>46349</v>
      </c>
      <c r="C14" s="32">
        <f>NguonLuc!Q57</f>
        <v/>
      </c>
      <c r="D14" s="45">
        <f>GiaDinh!$B$41</f>
        <v/>
      </c>
      <c r="E14" s="45">
        <f>GiaDinh!$C$41</f>
        <v/>
      </c>
      <c r="F14" s="32">
        <f>MIN(C14*D14,WBS!$L$47-I13)</f>
        <v/>
      </c>
      <c r="G14" s="32">
        <f>F14*E14</f>
        <v/>
      </c>
      <c r="H14" s="32">
        <f>NguonLuc!Q58</f>
        <v/>
      </c>
      <c r="I14" s="32">
        <f>I13+F14</f>
        <v/>
      </c>
      <c r="J14" s="32">
        <f>J13+G14</f>
        <v/>
      </c>
      <c r="K14" s="32">
        <f>I14-H14</f>
        <v/>
      </c>
      <c r="L14" s="32">
        <f>I14-J14</f>
        <v/>
      </c>
      <c r="M14" s="46">
        <f>I14/H14</f>
        <v/>
      </c>
      <c r="N14" s="46">
        <f>I14/J14</f>
        <v/>
      </c>
      <c r="O14" s="32">
        <f>WBS!$L$47/N14</f>
        <v/>
      </c>
      <c r="P14" s="32">
        <f>J14+(WBS!$L$47-I14)/(N14*M14)</f>
        <v/>
      </c>
      <c r="Q14" s="32">
        <f>O14-J14</f>
        <v/>
      </c>
      <c r="R14" s="32">
        <f>WBS!$L$47-O14</f>
        <v/>
      </c>
      <c r="S14" s="46">
        <f>IF(WBS!$L$47-J14=0,"",(WBS!$L$47-I14)/(WBS!$L$47-J14))</f>
        <v/>
      </c>
      <c r="T14" s="29" t="inlineStr"/>
    </row>
    <row r="15">
      <c r="A15" s="21" t="n">
        <v>11</v>
      </c>
      <c r="B15" s="44" t="n">
        <v>46356</v>
      </c>
      <c r="C15" s="32">
        <f>NguonLuc!R57</f>
        <v/>
      </c>
      <c r="D15" s="45">
        <f>GiaDinh!$B$41</f>
        <v/>
      </c>
      <c r="E15" s="45">
        <f>GiaDinh!$C$41</f>
        <v/>
      </c>
      <c r="F15" s="32">
        <f>MIN(C15*D15,WBS!$L$47-I14)</f>
        <v/>
      </c>
      <c r="G15" s="32">
        <f>F15*E15</f>
        <v/>
      </c>
      <c r="H15" s="32">
        <f>NguonLuc!R58</f>
        <v/>
      </c>
      <c r="I15" s="32">
        <f>I14+F15</f>
        <v/>
      </c>
      <c r="J15" s="32">
        <f>J14+G15</f>
        <v/>
      </c>
      <c r="K15" s="32">
        <f>I15-H15</f>
        <v/>
      </c>
      <c r="L15" s="32">
        <f>I15-J15</f>
        <v/>
      </c>
      <c r="M15" s="46">
        <f>I15/H15</f>
        <v/>
      </c>
      <c r="N15" s="46">
        <f>I15/J15</f>
        <v/>
      </c>
      <c r="O15" s="32">
        <f>WBS!$L$47/N15</f>
        <v/>
      </c>
      <c r="P15" s="32">
        <f>J15+(WBS!$L$47-I15)/(N15*M15)</f>
        <v/>
      </c>
      <c r="Q15" s="32">
        <f>O15-J15</f>
        <v/>
      </c>
      <c r="R15" s="32">
        <f>WBS!$L$47-O15</f>
        <v/>
      </c>
      <c r="S15" s="46">
        <f>IF(WBS!$L$47-J15=0,"",(WBS!$L$47-I15)/(WBS!$L$47-J15))</f>
        <v/>
      </c>
      <c r="T15" s="29" t="inlineStr"/>
    </row>
    <row r="16">
      <c r="A16" s="21" t="n">
        <v>12</v>
      </c>
      <c r="B16" s="44" t="n">
        <v>46363</v>
      </c>
      <c r="C16" s="32">
        <f>NguonLuc!S57</f>
        <v/>
      </c>
      <c r="D16" s="45">
        <f>GiaDinh!$B$41</f>
        <v/>
      </c>
      <c r="E16" s="45">
        <f>GiaDinh!$C$41</f>
        <v/>
      </c>
      <c r="F16" s="32">
        <f>MIN(C16*D16,WBS!$L$47-I15)</f>
        <v/>
      </c>
      <c r="G16" s="32">
        <f>F16*E16</f>
        <v/>
      </c>
      <c r="H16" s="32">
        <f>NguonLuc!S58</f>
        <v/>
      </c>
      <c r="I16" s="32">
        <f>I15+F16</f>
        <v/>
      </c>
      <c r="J16" s="32">
        <f>J15+G16</f>
        <v/>
      </c>
      <c r="K16" s="32">
        <f>I16-H16</f>
        <v/>
      </c>
      <c r="L16" s="32">
        <f>I16-J16</f>
        <v/>
      </c>
      <c r="M16" s="46">
        <f>I16/H16</f>
        <v/>
      </c>
      <c r="N16" s="46">
        <f>I16/J16</f>
        <v/>
      </c>
      <c r="O16" s="32">
        <f>WBS!$L$47/N16</f>
        <v/>
      </c>
      <c r="P16" s="32">
        <f>J16+(WBS!$L$47-I16)/(N16*M16)</f>
        <v/>
      </c>
      <c r="Q16" s="32">
        <f>O16-J16</f>
        <v/>
      </c>
      <c r="R16" s="32">
        <f>WBS!$L$47-O16</f>
        <v/>
      </c>
      <c r="S16" s="46">
        <f>IF(WBS!$L$47-J16=0,"",(WBS!$L$47-I16)/(WBS!$L$47-J16))</f>
        <v/>
      </c>
      <c r="T16" s="29" t="inlineStr">
        <is>
          <t>Báo cáo</t>
        </is>
      </c>
    </row>
    <row r="17">
      <c r="A17" s="21" t="n">
        <v>13</v>
      </c>
      <c r="B17" s="44" t="n">
        <v>46370</v>
      </c>
      <c r="C17" s="32">
        <f>NguonLuc!T57</f>
        <v/>
      </c>
      <c r="D17" s="45">
        <f>GiaDinh!$B$42</f>
        <v/>
      </c>
      <c r="E17" s="45">
        <f>GiaDinh!$C$42</f>
        <v/>
      </c>
      <c r="F17" s="32">
        <f>MIN(C17*D17,WBS!$L$47-I16)</f>
        <v/>
      </c>
      <c r="G17" s="32">
        <f>F17*E17</f>
        <v/>
      </c>
      <c r="H17" s="32">
        <f>NguonLuc!T58</f>
        <v/>
      </c>
      <c r="I17" s="32">
        <f>I16+F17</f>
        <v/>
      </c>
      <c r="J17" s="32">
        <f>J16+G17</f>
        <v/>
      </c>
      <c r="K17" s="32">
        <f>I17-H17</f>
        <v/>
      </c>
      <c r="L17" s="32">
        <f>I17-J17</f>
        <v/>
      </c>
      <c r="M17" s="46">
        <f>I17/H17</f>
        <v/>
      </c>
      <c r="N17" s="46">
        <f>I17/J17</f>
        <v/>
      </c>
      <c r="O17" s="32">
        <f>WBS!$L$47/N17</f>
        <v/>
      </c>
      <c r="P17" s="32">
        <f>J17+(WBS!$L$47-I17)/(N17*M17)</f>
        <v/>
      </c>
      <c r="Q17" s="32">
        <f>O17-J17</f>
        <v/>
      </c>
      <c r="R17" s="32">
        <f>WBS!$L$47-O17</f>
        <v/>
      </c>
      <c r="S17" s="46">
        <f>IF(WBS!$L$47-J17=0,"",(WBS!$L$47-I17)/(WBS!$L$47-J17))</f>
        <v/>
      </c>
      <c r="T17" s="29" t="inlineStr"/>
    </row>
    <row r="18">
      <c r="A18" s="21" t="n">
        <v>14</v>
      </c>
      <c r="B18" s="44" t="n">
        <v>46377</v>
      </c>
      <c r="C18" s="32">
        <f>NguonLuc!U57</f>
        <v/>
      </c>
      <c r="D18" s="45">
        <f>GiaDinh!$B$42</f>
        <v/>
      </c>
      <c r="E18" s="45">
        <f>GiaDinh!$C$42</f>
        <v/>
      </c>
      <c r="F18" s="32">
        <f>MIN(C18*D18,WBS!$L$47-I17)</f>
        <v/>
      </c>
      <c r="G18" s="32">
        <f>F18*E18</f>
        <v/>
      </c>
      <c r="H18" s="32">
        <f>NguonLuc!U58</f>
        <v/>
      </c>
      <c r="I18" s="32">
        <f>I17+F18</f>
        <v/>
      </c>
      <c r="J18" s="32">
        <f>J17+G18</f>
        <v/>
      </c>
      <c r="K18" s="32">
        <f>I18-H18</f>
        <v/>
      </c>
      <c r="L18" s="32">
        <f>I18-J18</f>
        <v/>
      </c>
      <c r="M18" s="46">
        <f>I18/H18</f>
        <v/>
      </c>
      <c r="N18" s="46">
        <f>I18/J18</f>
        <v/>
      </c>
      <c r="O18" s="32">
        <f>WBS!$L$47/N18</f>
        <v/>
      </c>
      <c r="P18" s="32">
        <f>J18+(WBS!$L$47-I18)/(N18*M18)</f>
        <v/>
      </c>
      <c r="Q18" s="32">
        <f>O18-J18</f>
        <v/>
      </c>
      <c r="R18" s="32">
        <f>WBS!$L$47-O18</f>
        <v/>
      </c>
      <c r="S18" s="46">
        <f>IF(WBS!$L$47-J18=0,"",(WBS!$L$47-I18)/(WBS!$L$47-J18))</f>
        <v/>
      </c>
      <c r="T18" s="29" t="inlineStr"/>
    </row>
    <row r="19">
      <c r="A19" s="21" t="n">
        <v>15</v>
      </c>
      <c r="B19" s="44" t="n">
        <v>46384</v>
      </c>
      <c r="C19" s="32">
        <f>NguonLuc!V57</f>
        <v/>
      </c>
      <c r="D19" s="45">
        <f>GiaDinh!$B$42</f>
        <v/>
      </c>
      <c r="E19" s="45">
        <f>GiaDinh!$C$42</f>
        <v/>
      </c>
      <c r="F19" s="32">
        <f>MIN(C19*D19,WBS!$L$47-I18)</f>
        <v/>
      </c>
      <c r="G19" s="32">
        <f>F19*E19</f>
        <v/>
      </c>
      <c r="H19" s="32">
        <f>NguonLuc!V58</f>
        <v/>
      </c>
      <c r="I19" s="32">
        <f>I18+F19</f>
        <v/>
      </c>
      <c r="J19" s="32">
        <f>J18+G19</f>
        <v/>
      </c>
      <c r="K19" s="32">
        <f>I19-H19</f>
        <v/>
      </c>
      <c r="L19" s="32">
        <f>I19-J19</f>
        <v/>
      </c>
      <c r="M19" s="46">
        <f>I19/H19</f>
        <v/>
      </c>
      <c r="N19" s="46">
        <f>I19/J19</f>
        <v/>
      </c>
      <c r="O19" s="32">
        <f>WBS!$L$47/N19</f>
        <v/>
      </c>
      <c r="P19" s="32">
        <f>J19+(WBS!$L$47-I19)/(N19*M19)</f>
        <v/>
      </c>
      <c r="Q19" s="32">
        <f>O19-J19</f>
        <v/>
      </c>
      <c r="R19" s="32">
        <f>WBS!$L$47-O19</f>
        <v/>
      </c>
      <c r="S19" s="46">
        <f>IF(WBS!$L$47-J19=0,"",(WBS!$L$47-I19)/(WBS!$L$47-J19))</f>
        <v/>
      </c>
      <c r="T19" s="29" t="inlineStr"/>
    </row>
    <row r="20">
      <c r="A20" s="21" t="n">
        <v>16</v>
      </c>
      <c r="B20" s="44" t="n">
        <v>46391</v>
      </c>
      <c r="C20" s="32">
        <f>NguonLuc!W57</f>
        <v/>
      </c>
      <c r="D20" s="45">
        <f>GiaDinh!$B$42</f>
        <v/>
      </c>
      <c r="E20" s="45">
        <f>GiaDinh!$C$42</f>
        <v/>
      </c>
      <c r="F20" s="32">
        <f>WBS!$L$47-I19</f>
        <v/>
      </c>
      <c r="G20" s="32">
        <f>F20*E20</f>
        <v/>
      </c>
      <c r="H20" s="32">
        <f>NguonLuc!W58</f>
        <v/>
      </c>
      <c r="I20" s="32">
        <f>I19+F20</f>
        <v/>
      </c>
      <c r="J20" s="32">
        <f>J19+G20</f>
        <v/>
      </c>
      <c r="K20" s="32">
        <f>I20-H20</f>
        <v/>
      </c>
      <c r="L20" s="32">
        <f>I20-J20</f>
        <v/>
      </c>
      <c r="M20" s="46">
        <f>I20/H20</f>
        <v/>
      </c>
      <c r="N20" s="46">
        <f>I20/J20</f>
        <v/>
      </c>
      <c r="O20" s="32">
        <f>WBS!$L$47/N20</f>
        <v/>
      </c>
      <c r="P20" s="32">
        <f>J20+(WBS!$L$47-I20)/(N20*M20)</f>
        <v/>
      </c>
      <c r="Q20" s="32">
        <f>O20-J20</f>
        <v/>
      </c>
      <c r="R20" s="32">
        <f>WBS!$L$47-O20</f>
        <v/>
      </c>
      <c r="S20" s="46">
        <f>IF(WBS!$L$47-J20=0,"",(WBS!$L$47-I20)/(WBS!$L$47-J20))</f>
        <v/>
      </c>
      <c r="T20" s="29" t="inlineStr">
        <is>
          <t>Báo cáo</t>
        </is>
      </c>
    </row>
    <row r="22">
      <c r="A22" s="4" t="inlineStr">
        <is>
          <t>BAC (đ)</t>
        </is>
      </c>
      <c r="C22" s="18">
        <f>WBS!$L$47</f>
        <v/>
      </c>
    </row>
    <row r="23">
      <c r="A23" s="47" t="inlineStr">
        <is>
          <t>Ngưỡng: SPI, CPI &gt;= 0,95 xanh; 0,85-0,95 vàng; &lt; 0,85 đỏ</t>
        </is>
      </c>
    </row>
  </sheetData>
  <conditionalFormatting sqref="A5:T20">
    <cfRule type="expression" priority="1" dxfId="7">
      <formula>$T5="Báo cáo"</formula>
    </cfRule>
  </conditionalFormatting>
  <conditionalFormatting sqref="M5:N20">
    <cfRule type="cellIs" priority="2" operator="lessThan" dxfId="3">
      <formula>0.85</formula>
    </cfRule>
    <cfRule type="cellIs" priority="3" operator="between" dxfId="4">
      <formula>0.85</formula>
      <formula>0.9499</formula>
    </cfRule>
    <cfRule type="cellIs" priority="4" operator="greaterThanOrEqual" dxfId="5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zoomScale="9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7" customWidth="1" min="4" max="4"/>
    <col width="110" customWidth="1" min="5" max="5"/>
  </cols>
  <sheetData>
    <row r="1">
      <c r="A1" s="1" t="inlineStr">
        <is>
          <t>Giờ công thật ghi nhận của nhóm</t>
        </is>
      </c>
    </row>
    <row r="2">
      <c r="A2" s="2" t="inlineStr">
        <is>
          <t>Nguồn: docs/pm/timelog.csv. Đây là số đo thật, không dùng trực tiếp cho EVA (xem báo cáo, mục EVA).</t>
        </is>
      </c>
    </row>
    <row r="4" ht="32" customHeight="1">
      <c r="A4" s="3" t="inlineStr">
        <is>
          <t>Ngày</t>
        </is>
      </c>
      <c r="B4" s="3" t="inlineStr">
        <is>
          <t>Người</t>
        </is>
      </c>
      <c r="C4" s="3" t="inlineStr">
        <is>
          <t>Mã WBS</t>
        </is>
      </c>
      <c r="D4" s="3" t="inlineStr">
        <is>
          <t>Giờ</t>
        </is>
      </c>
      <c r="E4" s="3" t="inlineStr">
        <is>
          <t>Ghi chú</t>
        </is>
      </c>
    </row>
    <row r="5">
      <c r="A5" t="inlineStr">
        <is>
          <t>2026-09-21</t>
        </is>
      </c>
      <c r="B5" t="inlineStr">
        <is>
          <t>SV1</t>
        </is>
      </c>
      <c r="C5" t="inlineStr">
        <is>
          <t>1.1</t>
        </is>
      </c>
      <c r="D5" t="n">
        <v>3</v>
      </c>
      <c r="E5" t="inlineStr">
        <is>
          <t>Đọc đề bài 3 file; lập PLAN.md; review đối chiếu checklist</t>
        </is>
      </c>
    </row>
    <row r="6">
      <c r="A6" t="inlineStr">
        <is>
          <t>2026-09-21</t>
        </is>
      </c>
      <c r="B6" t="inlineStr">
        <is>
          <t>SV1</t>
        </is>
      </c>
      <c r="C6" t="inlineStr">
        <is>
          <t>2.1</t>
        </is>
      </c>
      <c r="D6" t="n">
        <v>4</v>
      </c>
      <c r="E6" t="inlineStr">
        <is>
          <t>Viết SRS IEEE 830 (3 phần + 20 US + truy vết); xuất docx</t>
        </is>
      </c>
    </row>
    <row r="7">
      <c r="A7" t="inlineStr">
        <is>
          <t>2026-09-21</t>
        </is>
      </c>
      <c r="B7" t="inlineStr">
        <is>
          <t>SV1</t>
        </is>
      </c>
      <c r="C7" t="inlineStr">
        <is>
          <t>2.2</t>
        </is>
      </c>
      <c r="D7" t="n">
        <v>1</v>
      </c>
      <c r="E7" t="inlineStr">
        <is>
          <t>Vẽ use-case tổng quan; actor hierarchy; system context (PlantUML)</t>
        </is>
      </c>
    </row>
    <row r="8">
      <c r="A8" t="inlineStr">
        <is>
          <t>2026-09-21</t>
        </is>
      </c>
      <c r="B8" t="inlineStr">
        <is>
          <t>SV1</t>
        </is>
      </c>
      <c r="C8" t="inlineStr">
        <is>
          <t>1.2</t>
        </is>
      </c>
      <c r="D8" t="n">
        <v>1</v>
      </c>
      <c r="E8" t="inlineStr">
        <is>
          <t>Điền báo cáo mẫu LAB 1; brief slide</t>
        </is>
      </c>
    </row>
    <row r="9">
      <c r="A9" t="inlineStr">
        <is>
          <t>2026-09-21</t>
        </is>
      </c>
      <c r="B9" t="inlineStr">
        <is>
          <t>SV1</t>
        </is>
      </c>
      <c r="C9" t="inlineStr">
        <is>
          <t>1.3</t>
        </is>
      </c>
      <c r="D9" t="n">
        <v>3</v>
      </c>
      <c r="E9" t="inlineStr">
        <is>
          <t>Scaffold backend/frontend/ai-service; docker compose; CI; kiểm chứng 3 /health</t>
        </is>
      </c>
    </row>
    <row r="10">
      <c r="A10" t="inlineStr">
        <is>
          <t>2026-09-21</t>
        </is>
      </c>
      <c r="B10" t="inlineStr">
        <is>
          <t>SV1</t>
        </is>
      </c>
      <c r="C10" t="inlineStr">
        <is>
          <t>7.1</t>
        </is>
      </c>
      <c r="D10" t="n">
        <v>1</v>
      </c>
      <c r="E10" t="inlineStr">
        <is>
          <t>Tạo repo GitHub; 20 issue backlog; milestone; PR scaffold</t>
        </is>
      </c>
    </row>
    <row r="11">
      <c r="A11" t="inlineStr">
        <is>
          <t>2026-09-22</t>
        </is>
      </c>
      <c r="B11" t="inlineStr">
        <is>
          <t>SV1</t>
        </is>
      </c>
      <c r="C11" t="inlineStr">
        <is>
          <t>3.1</t>
        </is>
      </c>
      <c r="D11" t="n">
        <v>3</v>
      </c>
      <c r="E11" t="inlineStr">
        <is>
          <t>Class + 3 Sequence + Activity + Architecture (PlantUML); ERD sinh từ Prisma</t>
        </is>
      </c>
    </row>
    <row r="12">
      <c r="A12" t="inlineStr">
        <is>
          <t>2026-09-22</t>
        </is>
      </c>
      <c r="B12" t="inlineStr">
        <is>
          <t>SV1</t>
        </is>
      </c>
      <c r="C12" t="inlineStr">
        <is>
          <t>3.2</t>
        </is>
      </c>
      <c r="D12" t="n">
        <v>3</v>
      </c>
      <c r="E12" t="inlineStr">
        <is>
          <t>SDD: kiến trúc</t>
        </is>
      </c>
    </row>
    <row r="13">
      <c r="A13" t="inlineStr">
        <is>
          <t>2026-09-22</t>
        </is>
      </c>
      <c r="B13" t="inlineStr">
        <is>
          <t>SV1</t>
        </is>
      </c>
      <c r="C13" t="inlineStr">
        <is>
          <t>4.1</t>
        </is>
      </c>
      <c r="D13" t="n">
        <v>4</v>
      </c>
      <c r="E13" t="inlineStr">
        <is>
          <t>Auth JWT + RBAC + throttle; Users; Policies; unit test</t>
        </is>
      </c>
    </row>
    <row r="14">
      <c r="A14" t="inlineStr">
        <is>
          <t>2026-09-22</t>
        </is>
      </c>
      <c r="B14" t="inlineStr">
        <is>
          <t>SV1</t>
        </is>
      </c>
      <c r="C14" t="inlineStr">
        <is>
          <t>4.1</t>
        </is>
      </c>
      <c r="D14" t="n">
        <v>4</v>
      </c>
      <c r="E14" t="inlineStr">
        <is>
          <t>Books/Authors/Categories/Copies + Google Books client; import ISBN; unit test</t>
        </is>
      </c>
    </row>
    <row r="15">
      <c r="A15" t="inlineStr">
        <is>
          <t>2026-09-22</t>
        </is>
      </c>
      <c r="B15" t="inlineStr">
        <is>
          <t>SV1</t>
        </is>
      </c>
      <c r="C15" t="inlineStr">
        <is>
          <t>4.6</t>
        </is>
      </c>
      <c r="D15" t="n">
        <v>3</v>
      </c>
      <c r="E15" t="inlineStr">
        <is>
          <t>Seed goodbooks-10k subset + thể loại từ tag; e2e Postgres thật; smoke test 48 lời gọi</t>
        </is>
      </c>
    </row>
    <row r="16">
      <c r="A16" t="inlineStr">
        <is>
          <t>2026-10-05</t>
        </is>
      </c>
      <c r="B16" t="inlineStr">
        <is>
          <t>SV1</t>
        </is>
      </c>
      <c r="C16" t="inlineStr">
        <is>
          <t>4.3</t>
        </is>
      </c>
      <c r="D16" t="n">
        <v>4</v>
      </c>
      <c r="E16" t="inlineStr">
        <is>
          <t>LoansService: mượn/trả/gia hạn/báo mất + BR-01..BR-08; FinesService; AiClient có timeout</t>
        </is>
      </c>
    </row>
    <row r="17">
      <c r="A17" t="inlineStr">
        <is>
          <t>2026-10-05</t>
        </is>
      </c>
      <c r="B17" t="inlineStr">
        <is>
          <t>SV1</t>
        </is>
      </c>
      <c r="C17" t="inlineStr">
        <is>
          <t>4.5</t>
        </is>
      </c>
      <c r="D17" t="n">
        <v>2</v>
      </c>
      <c r="E17" t="inlineStr">
        <is>
          <t>RatingsService; ReportsService 4 báo cáo; seed mô phỏng 11.7k phiếu mượn</t>
        </is>
      </c>
    </row>
    <row r="18">
      <c r="A18" t="inlineStr">
        <is>
          <t>2026-10-05</t>
        </is>
      </c>
      <c r="B18" t="inlineStr">
        <is>
          <t>SV1</t>
        </is>
      </c>
      <c r="C18" t="inlineStr">
        <is>
          <t>5.1</t>
        </is>
      </c>
      <c r="D18" t="n">
        <v>2</v>
      </c>
      <c r="E18" t="inlineStr">
        <is>
          <t>Unit test 44 ca; e2e 8 ca trên Postgres thật; smoke 36 lời gọi; sửa phạt theo ngày lịch</t>
        </is>
      </c>
    </row>
    <row r="19">
      <c r="A19" t="inlineStr">
        <is>
          <t>2026-10-05</t>
        </is>
      </c>
      <c r="B19" t="inlineStr">
        <is>
          <t>SV1</t>
        </is>
      </c>
      <c r="C19" t="inlineStr">
        <is>
          <t>4.6</t>
        </is>
      </c>
      <c r="D19" t="n">
        <v>4</v>
      </c>
      <c r="E19" t="inlineStr">
        <is>
          <t>AI Service: recommender TF-IDF + item-CF</t>
        </is>
      </c>
    </row>
    <row r="20">
      <c r="A20" t="inlineStr">
        <is>
          <t>2026-10-05</t>
        </is>
      </c>
      <c r="B20" t="inlineStr">
        <is>
          <t>SV1</t>
        </is>
      </c>
      <c r="C20" t="inlineStr">
        <is>
          <t>4.7</t>
        </is>
      </c>
      <c r="D20" t="n">
        <v>3</v>
      </c>
      <c r="E20" t="inlineStr">
        <is>
          <t>Backend: internal/training-data</t>
        </is>
      </c>
    </row>
    <row r="21">
      <c r="A21" t="inlineStr">
        <is>
          <t>2026-10-05</t>
        </is>
      </c>
      <c r="B21" t="inlineStr">
        <is>
          <t>SV1</t>
        </is>
      </c>
      <c r="C21" t="inlineStr">
        <is>
          <t>2.3</t>
        </is>
      </c>
      <c r="D21" t="n">
        <v>1</v>
      </c>
      <c r="E21" t="inlineStr">
        <is>
          <t>Cap nhat SDD</t>
        </is>
      </c>
    </row>
    <row r="22">
      <c r="A22" t="inlineStr">
        <is>
          <t>2026-10-05</t>
        </is>
      </c>
      <c r="B22" t="inlineStr">
        <is>
          <t>SV1</t>
        </is>
      </c>
      <c r="C22" t="inlineStr">
        <is>
          <t>4.2</t>
        </is>
      </c>
      <c r="D22" t="n">
        <v>5</v>
      </c>
      <c r="E22" t="inlineStr">
        <is>
          <t>Frontend: 12 trang</t>
        </is>
      </c>
    </row>
    <row r="23">
      <c r="A23" t="inlineStr">
        <is>
          <t>2026-10-05</t>
        </is>
      </c>
      <c r="B23" t="inlineStr">
        <is>
          <t>SV1</t>
        </is>
      </c>
      <c r="C23" t="inlineStr">
        <is>
          <t>4.2</t>
        </is>
      </c>
      <c r="D23" t="n">
        <v>2</v>
      </c>
      <c r="E23" t="inlineStr">
        <is>
          <t>Kiem thu giao dien tren trinh duyet that; chup 7 anh man hinh cho bao cao</t>
        </is>
      </c>
    </row>
    <row r="24">
      <c r="A24" t="inlineStr">
        <is>
          <t>2026-10-05</t>
        </is>
      </c>
      <c r="B24" t="inlineStr">
        <is>
          <t>SV1</t>
        </is>
      </c>
      <c r="C24" t="inlineStr">
        <is>
          <t>2.3</t>
        </is>
      </c>
      <c r="D24" t="n">
        <v>1</v>
      </c>
      <c r="E24" t="inlineStr">
        <is>
          <t>Dien muc giao dien LAB 3 vao bao cao; cap nhat README</t>
        </is>
      </c>
    </row>
    <row r="25">
      <c r="A25" t="inlineStr">
        <is>
          <t>2026-10-05</t>
        </is>
      </c>
      <c r="B25" t="inlineStr">
        <is>
          <t>SV1</t>
        </is>
      </c>
      <c r="C25" t="inlineStr">
        <is>
          <t>2.1</t>
        </is>
      </c>
      <c r="D25" t="n">
        <v>2</v>
      </c>
      <c r="E25" t="inlineStr">
        <is>
          <t>Ra soat LAB 1 va LAB 2 theo checklist cham diem; bo gach ngang dai toan bo tai lieu</t>
        </is>
      </c>
    </row>
    <row r="26">
      <c r="A26" t="inlineStr">
        <is>
          <t>2026-10-05</t>
        </is>
      </c>
      <c r="B26" t="inlineStr">
        <is>
          <t>SV1</t>
        </is>
      </c>
      <c r="C26" t="inlineStr">
        <is>
          <t>2.2</t>
        </is>
      </c>
      <c r="D26" t="n">
        <v>2</v>
      </c>
      <c r="E26" t="inlineStr">
        <is>
          <t>Viet brief slide LAB 2; ve lai so do; dung lai ba file docx</t>
        </is>
      </c>
    </row>
    <row r="27">
      <c r="A27" t="inlineStr">
        <is>
          <t>2026-10-10</t>
        </is>
      </c>
      <c r="B27" t="inlineStr">
        <is>
          <t>SV1</t>
        </is>
      </c>
      <c r="C27" t="inlineStr">
        <is>
          <t>6.1</t>
        </is>
      </c>
      <c r="D27" t="n">
        <v>3</v>
      </c>
      <c r="E27" t="inlineStr">
        <is>
          <t>Rewrite proxy Next.js cho Vercel; render.yaml; AI doc PORT; kiem thu cuc bo bang frontend doc lap</t>
        </is>
      </c>
    </row>
    <row r="28">
      <c r="A28" t="inlineStr">
        <is>
          <t>2026-10-10</t>
        </is>
      </c>
      <c r="B28" t="inlineStr">
        <is>
          <t>SV1</t>
        </is>
      </c>
      <c r="C28" t="inlineStr">
        <is>
          <t>6.2</t>
        </is>
      </c>
      <c r="D28" t="n">
        <v>2</v>
      </c>
      <c r="E28" t="inlineStr">
        <is>
          <t>CI: job compose-smoke va job deploy that; hdan DEPLOY.md</t>
        </is>
      </c>
    </row>
    <row r="29">
      <c r="C29" s="4" t="inlineStr">
        <is>
          <t>Tổng</t>
        </is>
      </c>
      <c r="D29" s="4">
        <f>SUM(D5:D28)</f>
        <v/>
      </c>
    </row>
    <row r="31">
      <c r="A31" s="4" t="inlineStr">
        <is>
          <t>Tổng giờ thật theo pha (mã WBS bắt đầu bằng chữ số pha)</t>
        </is>
      </c>
    </row>
    <row r="32">
      <c r="A32" t="inlineStr">
        <is>
          <t>1. Khởi tạo</t>
        </is>
      </c>
      <c r="D32">
        <f>SUMPRODUCT((LEFT($C$5:$C$28,1)="1")*$D$5:$D$28)</f>
        <v/>
      </c>
    </row>
    <row r="33">
      <c r="A33" t="inlineStr">
        <is>
          <t>2. Phân tích</t>
        </is>
      </c>
      <c r="D33">
        <f>SUMPRODUCT((LEFT($C$5:$C$28,1)="2")*$D$5:$D$28)</f>
        <v/>
      </c>
    </row>
    <row r="34">
      <c r="A34" t="inlineStr">
        <is>
          <t>3. Thiết kế</t>
        </is>
      </c>
      <c r="D34">
        <f>SUMPRODUCT((LEFT($C$5:$C$28,1)="3")*$D$5:$D$28)</f>
        <v/>
      </c>
    </row>
    <row r="35">
      <c r="A35" t="inlineStr">
        <is>
          <t>4. Phát triển</t>
        </is>
      </c>
      <c r="D35">
        <f>SUMPRODUCT((LEFT($C$5:$C$28,1)="4")*$D$5:$D$28)</f>
        <v/>
      </c>
    </row>
    <row r="36">
      <c r="A36" t="inlineStr">
        <is>
          <t>5. Kiểm thử</t>
        </is>
      </c>
      <c r="D36">
        <f>SUMPRODUCT((LEFT($C$5:$C$28,1)="5")*$D$5:$D$28)</f>
        <v/>
      </c>
    </row>
    <row r="37">
      <c r="A37" t="inlineStr">
        <is>
          <t>6. Triển khai</t>
        </is>
      </c>
      <c r="D37">
        <f>SUMPRODUCT((LEFT($C$5:$C$28,1)="6")*$D$5:$D$28)</f>
        <v/>
      </c>
    </row>
    <row r="38">
      <c r="A38" t="inlineStr">
        <is>
          <t>7. Quản lý dự án</t>
        </is>
      </c>
      <c r="D38">
        <f>SUMPRODUCT((LEFT($C$5:$C$28,1)="7")*$D$5:$D$28)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9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44" customWidth="1" min="4" max="4"/>
    <col width="52" customWidth="1" min="5" max="5"/>
    <col width="8" customWidth="1" min="6" max="6"/>
  </cols>
  <sheetData>
    <row r="1">
      <c r="A1" s="1" t="inlineStr">
        <is>
          <t>Mốc chất lượng và tiêu chí chấp nhận</t>
        </is>
      </c>
    </row>
    <row r="2">
      <c r="A2" s="2" t="inlineStr">
        <is>
          <t>Kết quả thật lấy từ pipeline CI của dự án (run #25 trên main).</t>
        </is>
      </c>
    </row>
    <row r="4" ht="32" customHeight="1">
      <c r="A4" s="3" t="inlineStr">
        <is>
          <t>Loại kiểm thử</t>
        </is>
      </c>
      <c r="B4" s="3" t="inlineStr">
        <is>
          <t>Phạm vi</t>
        </is>
      </c>
      <c r="C4" s="3" t="inlineStr">
        <is>
          <t>Công cụ</t>
        </is>
      </c>
      <c r="D4" s="3" t="inlineStr">
        <is>
          <t>Tiêu chí chấp nhận</t>
        </is>
      </c>
      <c r="E4" s="3" t="inlineStr">
        <is>
          <t>Kết quả thật</t>
        </is>
      </c>
      <c r="F4" s="3" t="inlineStr">
        <is>
          <t>Đạt?</t>
        </is>
      </c>
    </row>
    <row r="5">
      <c r="A5" s="27" t="inlineStr">
        <is>
          <t>Kiểm thử đơn vị</t>
        </is>
      </c>
      <c r="B5" s="27" t="inlineStr">
        <is>
          <t>Service, guard, client của Backend</t>
        </is>
      </c>
      <c r="C5" s="27" t="inlineStr">
        <is>
          <t>Jest</t>
        </is>
      </c>
      <c r="D5" s="27" t="inlineStr">
        <is>
          <t>Coverage dòng &gt;= 80% trên lớp nghiệp vụ</t>
        </is>
      </c>
      <c r="E5" s="27" t="inlineStr">
        <is>
          <t>119 test; dòng 98,75%, câu lệnh 97,51%, hàm 98,49%, nhánh 81,9%</t>
        </is>
      </c>
      <c r="F5" s="27" t="inlineStr">
        <is>
          <t>Đạt</t>
        </is>
      </c>
    </row>
    <row r="6">
      <c r="A6" s="27" t="inlineStr">
        <is>
          <t>Kiểm thử đơn vị AI</t>
        </is>
      </c>
      <c r="B6" s="27" t="inlineStr">
        <is>
          <t>Mô hình gợi ý, dự báo, API</t>
        </is>
      </c>
      <c r="C6" s="27" t="inlineStr">
        <is>
          <t>pytest</t>
        </is>
      </c>
      <c r="D6" s="27" t="inlineStr">
        <is>
          <t>Coverage &gt;= 80%</t>
        </is>
      </c>
      <c r="E6" s="27" t="inlineStr">
        <is>
          <t>26 test; coverage 93,6%</t>
        </is>
      </c>
      <c r="F6" s="27" t="inlineStr">
        <is>
          <t>Đạt</t>
        </is>
      </c>
    </row>
    <row r="7">
      <c r="A7" s="27" t="inlineStr">
        <is>
          <t>Kiểm thử tích hợp (e2e)</t>
        </is>
      </c>
      <c r="B7" s="27" t="inlineStr">
        <is>
          <t>API trên PostgreSQL thật</t>
        </is>
      </c>
      <c r="C7" s="27" t="inlineStr">
        <is>
          <t>Jest + Supertest</t>
        </is>
      </c>
      <c r="D7" s="27" t="inlineStr">
        <is>
          <t>Luồng mượn, trả, phạt đúng; mã lỗi đúng</t>
        </is>
      </c>
      <c r="E7" s="27" t="inlineStr">
        <is>
          <t>15 test, 3 suite</t>
        </is>
      </c>
      <c r="F7" s="27" t="inlineStr">
        <is>
          <t>Đạt</t>
        </is>
      </c>
    </row>
    <row r="8">
      <c r="A8" s="27" t="inlineStr">
        <is>
          <t>Kiểm thử hệ thống</t>
        </is>
      </c>
      <c r="B8" s="27" t="inlineStr">
        <is>
          <t>Gọi API thật qua gateway</t>
        </is>
      </c>
      <c r="C8" s="27" t="inlineStr">
        <is>
          <t>Script smoke (Python)</t>
        </is>
      </c>
      <c r="D8" s="27" t="inlineStr">
        <is>
          <t>Mọi luồng chính trả mã đúng</t>
        </is>
      </c>
      <c r="E8" s="27" t="inlineStr">
        <is>
          <t>100 lượt gọi xanh (3 sprint)</t>
        </is>
      </c>
      <c r="F8" s="27" t="inlineStr">
        <is>
          <t>Đạt</t>
        </is>
      </c>
    </row>
    <row r="9">
      <c r="A9" s="27" t="inlineStr">
        <is>
          <t>Kiểm thử cài đặt</t>
        </is>
      </c>
      <c r="B9" s="27" t="inlineStr">
        <is>
          <t>docker compose up trên máy sạch</t>
        </is>
      </c>
      <c r="C9" s="27" t="inlineStr">
        <is>
          <t>GitHub Actions (compose-smoke)</t>
        </is>
      </c>
      <c r="D9" s="27" t="inlineStr">
        <is>
          <t>3 địa chỉ /health trả 200 qua gateway</t>
        </is>
      </c>
      <c r="E9" s="27" t="inlineStr">
        <is>
          <t>Xanh trên runner sạch</t>
        </is>
      </c>
      <c r="F9" s="27" t="inlineStr">
        <is>
          <t>Đạt</t>
        </is>
      </c>
    </row>
    <row r="10">
      <c r="A10" s="27" t="inlineStr">
        <is>
          <t>Kiểm thử chấp nhận (UAT)</t>
        </is>
      </c>
      <c r="B10" s="27" t="inlineStr">
        <is>
          <t>Kịch bản thủ thư và bạn đọc trên bản chạy thật</t>
        </is>
      </c>
      <c r="C10" s="27" t="inlineStr">
        <is>
          <t>Thủ công theo kịch bản</t>
        </is>
      </c>
      <c r="D10" s="27" t="inlineStr">
        <is>
          <t>Hoàn tất 100% kịch bản, 0 lỗi nghiêm trọng</t>
        </is>
      </c>
      <c r="E10" s="27" t="inlineStr">
        <is>
          <t>Đã chạy các luồng chính trên Vercel, Render, Neon</t>
        </is>
      </c>
      <c r="F10" s="27" t="inlineStr">
        <is>
          <t>Đạt</t>
        </is>
      </c>
    </row>
    <row r="11">
      <c r="A11" s="27" t="inlineStr">
        <is>
          <t>Chỉ số mô hình AI</t>
        </is>
      </c>
      <c r="B11" s="27" t="inlineStr">
        <is>
          <t>Gợi ý sách và dự báo trả trễ</t>
        </is>
      </c>
      <c r="C11" s="27" t="inlineStr">
        <is>
          <t>scikit-learn</t>
        </is>
      </c>
      <c r="D11" s="27" t="inlineStr">
        <is>
          <t>Precision@5 &gt;= 0,15; ROC-AUC &gt;= 0,70</t>
        </is>
      </c>
      <c r="E11" s="27" t="inlineStr">
        <is>
          <t>0,309 và 0,76</t>
        </is>
      </c>
      <c r="F11" s="27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2026-10-10T04:29:08Z</dcterms:created>
  <dcterms:modified xmlns:dcterms="http://purl.org/dc/terms/" xmlns:xsi="http://www.w3.org/2001/XMLSchema-instance" xsi:type="dcterms:W3CDTF">2026-10-10T04:29:08Z</dcterms:modified>
</cp:coreProperties>
</file>